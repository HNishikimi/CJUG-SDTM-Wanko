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R:\共有\002_臨床開発部\091_DM・統計\01_com\04_CDISC関連\CJUG_SDTM\03_成果物\作成中\"/>
    </mc:Choice>
  </mc:AlternateContent>
  <xr:revisionPtr revIDLastSave="0" documentId="8_{53CD3744-0B30-4C91-851C-2259B2DA36D8}" xr6:coauthVersionLast="47" xr6:coauthVersionMax="47" xr10:uidLastSave="{00000000-0000-0000-0000-000000000000}"/>
  <bookViews>
    <workbookView xWindow="-120" yWindow="-120" windowWidth="29040" windowHeight="15720" activeTab="2" xr2:uid="{3688DF61-2926-4D30-83DE-4F7536F96066}"/>
  </bookViews>
  <sheets>
    <sheet name="ファイル一覧" sheetId="4" r:id="rId1"/>
    <sheet name="J3C_CJUG_材料" sheetId="1" r:id="rId2"/>
    <sheet name="アンケート内容検討" sheetId="5" r:id="rId3"/>
  </sheets>
  <definedNames>
    <definedName name="_xlnm._FilterDatabase" localSheetId="1" hidden="1">J3C_CJUG_材料!$A$1:$I$51</definedName>
    <definedName name="_xlnm._FilterDatabase" localSheetId="2" hidden="1">アンケート内容検討!$A$1:$P$40</definedName>
    <definedName name="_xlnm._FilterDatabase" localSheetId="0" hidden="1">ファイル一覧!$A$2:$D$96</definedName>
    <definedName name="_xlnm.Print_Titles" localSheetId="0">ファイル一覧!$1:$2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T31" i="5" l="1"/>
  <c r="T32" i="5"/>
  <c r="T33" i="5"/>
  <c r="T34" i="5"/>
  <c r="T35" i="5"/>
  <c r="T36" i="5"/>
  <c r="T37" i="5"/>
  <c r="T38" i="5"/>
  <c r="T39" i="5"/>
  <c r="T40" i="5"/>
  <c r="U31" i="5"/>
  <c r="W31" i="5"/>
  <c r="U32" i="5"/>
  <c r="W32" i="5"/>
  <c r="U33" i="5"/>
  <c r="W33" i="5"/>
  <c r="U34" i="5"/>
  <c r="W34" i="5"/>
  <c r="U35" i="5"/>
  <c r="W35" i="5"/>
  <c r="U36" i="5"/>
  <c r="W36" i="5"/>
  <c r="U37" i="5"/>
  <c r="W37" i="5"/>
  <c r="U38" i="5"/>
  <c r="W38" i="5"/>
  <c r="U39" i="5"/>
  <c r="W39" i="5"/>
  <c r="U40" i="5"/>
  <c r="W40" i="5"/>
  <c r="Q32" i="5"/>
  <c r="Q33" i="5"/>
  <c r="Q34" i="5"/>
  <c r="Q35" i="5"/>
  <c r="Q36" i="5"/>
  <c r="Q37" i="5"/>
  <c r="Q38" i="5"/>
  <c r="Q39" i="5"/>
  <c r="Q40" i="5"/>
  <c r="L39" i="5"/>
  <c r="V39" i="5" s="1"/>
  <c r="L40" i="5"/>
  <c r="V40" i="5" s="1"/>
  <c r="L26" i="5"/>
  <c r="V26" i="5" s="1"/>
  <c r="L27" i="5"/>
  <c r="V27" i="5" s="1"/>
  <c r="L28" i="5"/>
  <c r="V28" i="5" s="1"/>
  <c r="L29" i="5"/>
  <c r="V29" i="5" s="1"/>
  <c r="L30" i="5"/>
  <c r="V30" i="5" s="1"/>
  <c r="L31" i="5"/>
  <c r="V31" i="5" s="1"/>
  <c r="L32" i="5"/>
  <c r="V32" i="5" s="1"/>
  <c r="L33" i="5"/>
  <c r="V33" i="5" s="1"/>
  <c r="L34" i="5"/>
  <c r="V34" i="5" s="1"/>
  <c r="L35" i="5"/>
  <c r="V35" i="5" s="1"/>
  <c r="L36" i="5"/>
  <c r="V36" i="5" s="1"/>
  <c r="L37" i="5"/>
  <c r="V37" i="5" s="1"/>
  <c r="L38" i="5"/>
  <c r="V38" i="5" s="1"/>
  <c r="Q31" i="5"/>
  <c r="E40" i="5"/>
  <c r="E39" i="5"/>
  <c r="E34" i="5"/>
  <c r="E33" i="5"/>
  <c r="D26" i="5"/>
  <c r="E26" i="5"/>
  <c r="D27" i="5"/>
  <c r="E27" i="5"/>
  <c r="D28" i="5"/>
  <c r="E28" i="5"/>
  <c r="D29" i="5"/>
  <c r="E29" i="5"/>
  <c r="D30" i="5"/>
  <c r="E30" i="5"/>
  <c r="D31" i="5"/>
  <c r="E31" i="5"/>
  <c r="D32" i="5"/>
  <c r="E32" i="5"/>
  <c r="D33" i="5"/>
  <c r="D34" i="5"/>
  <c r="D35" i="5"/>
  <c r="E35" i="5"/>
  <c r="D36" i="5"/>
  <c r="E36" i="5"/>
  <c r="D37" i="5"/>
  <c r="E37" i="5"/>
  <c r="D38" i="5"/>
  <c r="E38" i="5"/>
  <c r="D39" i="5"/>
  <c r="D40" i="5"/>
  <c r="T26" i="5"/>
  <c r="U26" i="5"/>
  <c r="W26" i="5"/>
  <c r="T27" i="5"/>
  <c r="U27" i="5"/>
  <c r="W27" i="5"/>
  <c r="T28" i="5"/>
  <c r="U28" i="5"/>
  <c r="W28" i="5"/>
  <c r="T29" i="5"/>
  <c r="U29" i="5"/>
  <c r="W29" i="5"/>
  <c r="T30" i="5"/>
  <c r="U30" i="5"/>
  <c r="W30" i="5"/>
  <c r="Q30" i="5"/>
  <c r="Q29" i="5"/>
  <c r="Q28" i="5"/>
  <c r="Q27" i="5"/>
  <c r="Q26" i="5"/>
  <c r="T3" i="5"/>
  <c r="T4" i="5"/>
  <c r="T5" i="5"/>
  <c r="T6" i="5"/>
  <c r="T7" i="5"/>
  <c r="T8" i="5"/>
  <c r="T9" i="5"/>
  <c r="T10" i="5"/>
  <c r="T11" i="5"/>
  <c r="T12" i="5"/>
  <c r="T13" i="5"/>
  <c r="T14" i="5"/>
  <c r="T15" i="5"/>
  <c r="T16" i="5"/>
  <c r="T17" i="5"/>
  <c r="T18" i="5"/>
  <c r="T19" i="5"/>
  <c r="T20" i="5"/>
  <c r="T21" i="5"/>
  <c r="T22" i="5"/>
  <c r="T23" i="5"/>
  <c r="T24" i="5"/>
  <c r="T25" i="5"/>
  <c r="T2" i="5"/>
  <c r="U3" i="5"/>
  <c r="W3" i="5"/>
  <c r="U4" i="5"/>
  <c r="W4" i="5"/>
  <c r="U5" i="5"/>
  <c r="W5" i="5"/>
  <c r="U6" i="5"/>
  <c r="W6" i="5"/>
  <c r="U7" i="5"/>
  <c r="W7" i="5"/>
  <c r="U8" i="5"/>
  <c r="W8" i="5"/>
  <c r="U9" i="5"/>
  <c r="W9" i="5"/>
  <c r="U10" i="5"/>
  <c r="W10" i="5"/>
  <c r="U11" i="5"/>
  <c r="W11" i="5"/>
  <c r="U12" i="5"/>
  <c r="W12" i="5"/>
  <c r="U13" i="5"/>
  <c r="W13" i="5"/>
  <c r="U14" i="5"/>
  <c r="W14" i="5"/>
  <c r="U15" i="5"/>
  <c r="W15" i="5"/>
  <c r="U16" i="5"/>
  <c r="W16" i="5"/>
  <c r="U17" i="5"/>
  <c r="W17" i="5"/>
  <c r="U18" i="5"/>
  <c r="W18" i="5"/>
  <c r="U19" i="5"/>
  <c r="W19" i="5"/>
  <c r="U20" i="5"/>
  <c r="W20" i="5"/>
  <c r="U21" i="5"/>
  <c r="W21" i="5"/>
  <c r="U22" i="5"/>
  <c r="W22" i="5"/>
  <c r="U23" i="5"/>
  <c r="W23" i="5"/>
  <c r="U24" i="5"/>
  <c r="W24" i="5"/>
  <c r="U25" i="5"/>
  <c r="W25" i="5"/>
  <c r="W2" i="5"/>
  <c r="U2" i="5"/>
  <c r="Q25" i="5"/>
  <c r="Q24" i="5"/>
  <c r="Q23" i="5"/>
  <c r="Q22" i="5"/>
  <c r="Q21" i="5"/>
  <c r="Q20" i="5"/>
  <c r="Q19" i="5"/>
  <c r="Q18" i="5"/>
  <c r="Q17" i="5"/>
  <c r="Q16" i="5"/>
  <c r="Q15" i="5"/>
  <c r="Q14" i="5"/>
  <c r="Q13" i="5"/>
  <c r="Q12" i="5"/>
  <c r="Q11" i="5"/>
  <c r="Q10" i="5"/>
  <c r="Q9" i="5"/>
  <c r="Q8" i="5"/>
  <c r="Q7" i="5"/>
  <c r="Q6" i="5"/>
  <c r="Q5" i="5"/>
  <c r="Q4" i="5"/>
  <c r="Q3" i="5"/>
  <c r="Q2" i="5"/>
  <c r="L25" i="5"/>
  <c r="V25" i="5" s="1"/>
  <c r="L24" i="5"/>
  <c r="V24" i="5" s="1"/>
  <c r="L23" i="5"/>
  <c r="V23" i="5" s="1"/>
  <c r="L22" i="5"/>
  <c r="V22" i="5" s="1"/>
  <c r="L21" i="5"/>
  <c r="V21" i="5" s="1"/>
  <c r="L20" i="5"/>
  <c r="V20" i="5" s="1"/>
  <c r="L19" i="5"/>
  <c r="V19" i="5" s="1"/>
  <c r="L18" i="5"/>
  <c r="V18" i="5" s="1"/>
  <c r="L17" i="5"/>
  <c r="V17" i="5" s="1"/>
  <c r="L16" i="5"/>
  <c r="V16" i="5" s="1"/>
  <c r="L15" i="5"/>
  <c r="V15" i="5" s="1"/>
  <c r="L14" i="5"/>
  <c r="V14" i="5" s="1"/>
  <c r="L13" i="5"/>
  <c r="V13" i="5" s="1"/>
  <c r="L12" i="5"/>
  <c r="V12" i="5" s="1"/>
  <c r="L11" i="5"/>
  <c r="V11" i="5" s="1"/>
  <c r="L10" i="5"/>
  <c r="V10" i="5" s="1"/>
  <c r="L9" i="5"/>
  <c r="V9" i="5" s="1"/>
  <c r="L8" i="5"/>
  <c r="V8" i="5" s="1"/>
  <c r="L7" i="5"/>
  <c r="V7" i="5" s="1"/>
  <c r="L6" i="5"/>
  <c r="V6" i="5" s="1"/>
  <c r="L5" i="5"/>
  <c r="V5" i="5" s="1"/>
  <c r="L4" i="5"/>
  <c r="V4" i="5" s="1"/>
  <c r="L3" i="5"/>
  <c r="V3" i="5" s="1"/>
  <c r="L2" i="5"/>
  <c r="V2" i="5" s="1"/>
  <c r="D25" i="5"/>
  <c r="D24" i="5"/>
  <c r="D23" i="5"/>
  <c r="D22" i="5"/>
  <c r="D21" i="5"/>
  <c r="D20" i="5"/>
  <c r="D19" i="5"/>
  <c r="D18" i="5"/>
  <c r="D17" i="5"/>
  <c r="D16" i="5"/>
  <c r="D15" i="5"/>
  <c r="D14" i="5"/>
  <c r="D13" i="5"/>
  <c r="D12" i="5"/>
  <c r="D11" i="5"/>
  <c r="D10" i="5"/>
  <c r="D9" i="5"/>
  <c r="D8" i="5"/>
  <c r="D7" i="5"/>
  <c r="D6" i="5"/>
  <c r="D5" i="5"/>
  <c r="D4" i="5"/>
  <c r="D3" i="5"/>
  <c r="D2" i="5"/>
  <c r="E25" i="5"/>
  <c r="E24" i="5"/>
  <c r="E23" i="5"/>
  <c r="E22" i="5"/>
  <c r="E21" i="5"/>
  <c r="E20" i="5"/>
  <c r="E19" i="5"/>
  <c r="E18" i="5"/>
  <c r="E17" i="5"/>
  <c r="E16" i="5"/>
  <c r="E15" i="5"/>
  <c r="E14" i="5"/>
  <c r="E13" i="5"/>
  <c r="E12" i="5"/>
  <c r="E11" i="5"/>
  <c r="E10" i="5"/>
  <c r="E9" i="5"/>
  <c r="E8" i="5"/>
  <c r="E7" i="5"/>
  <c r="E6" i="5"/>
  <c r="E5" i="5"/>
  <c r="E4" i="5"/>
  <c r="E3" i="5"/>
  <c r="E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tc={BC8B2E27-2E76-4B8D-A9FD-0A09BFA7D70F}</author>
    <author>tc={6715944C-BB51-474E-865B-2A786BAFECAA}</author>
    <author>tc={64FA0850-F334-4E9E-93CF-2B7EBEF56284}</author>
    <author>tc={BB266940-4F9F-4085-9AD5-2181A4030A73}</author>
    <author>tc={08A49ACA-B116-44BF-9192-BBE5F83A4327}</author>
    <author>tc={E5284451-F0B7-4CCB-88DA-C0BCF303512A}</author>
    <author>tc={416CBA13-D849-46D2-9799-031E5F6F2907}</author>
    <author>tc={25A514F5-7A23-400D-AD9C-5C8080B63313}</author>
    <author>tc={D27EFEA5-FD51-4499-88C6-8EEFFC3264BB}</author>
    <author>tc={5FF2E824-5381-485E-A65E-3B60949E55F3}</author>
    <author>tc={D7E364D8-C73B-411E-8E44-718138099E08}</author>
    <author>tc={8A6FFE86-2474-4E00-BADD-498907314EBA}</author>
    <author>tc={9B790AD9-6EFE-4F91-8AE2-2D0605F72035}</author>
    <author>tc={0CDA6B01-B16C-49D6-B2DD-68C3C0BF107F}</author>
    <author>tc={9AE7F541-20AC-4B43-AFFA-342F0F9ECC94}</author>
    <author>tc={5BD0B47B-B144-4F06-A814-3BE81F3DD318}</author>
    <author>tc={14E74E01-915D-467A-A51A-859D2C8B9EDA}</author>
    <author>tc={391334F4-CC67-417E-8871-A5FE7070D78B}</author>
    <author>tc={05525B0A-D560-4D66-A88F-3BD40DDE4FEF}</author>
    <author>tc={AAA0122E-3AE8-42E6-8101-8DAED4B714A0}</author>
    <author>tc={C12D39AA-71D0-460C-B027-B13ADED10B8A}</author>
    <author>tc={20AE2A7B-37B5-4758-B6DF-8B333442DA32}</author>
    <author>tc={780D09FB-4E3A-48B2-B555-AB11EBC63F55}</author>
    <author>tc={9639CE3A-4920-4ABA-83D5-FA886BCCAFAB}</author>
    <author>tc={50E4ACB2-13CB-4CD6-8F37-86C658803300}</author>
    <author>tc={54855E34-607C-4706-957C-8B29755DFFFB}</author>
    <author>tc={9DE905B6-89AC-4C21-A77F-F76D07689BF1}</author>
    <author>tc={317A6374-749B-446C-894A-918EDE2BF1A8}</author>
    <author>tc={ED943DDE-9A5D-4290-BDA3-EC67647FECB1}</author>
    <author>tc={DFD211B6-3435-4FE5-8780-7C1672CAF213}</author>
    <author>tc={6C22E1DB-0FE1-4B5E-8B6D-1F53E353DF90}</author>
    <author>tc={5E0A5103-7D41-45AE-BC4D-D88959FD769B}</author>
    <author>tc={EA0003A4-5373-4790-ABB7-9E0D4A05F84F}</author>
    <author>tc={37234509-74B8-49E6-8E26-E7EA824DD1C4}</author>
    <author>tc={810D142C-CE7D-48F8-BD79-B73322451129}</author>
    <author>tc={0CF81F90-C595-4C3A-9953-E33594085486}</author>
    <author>tc={214B5934-BD4B-4606-BB14-4861DD68A277}</author>
    <author>tc={410E68FF-E40B-4579-B932-16C5DC714754}</author>
    <author>tc={3345CFCA-F9A6-45B9-82A7-AAD07E61F3EA}</author>
    <author>tc={3A74CC1E-65F6-49AA-8442-C646172672AF}</author>
    <author>tc={8D123DCD-600A-4884-8778-0FD146F17E05}</author>
    <author>tc={D8F24BD2-BCCD-45E1-8C73-0DF295856658}</author>
    <author>tc={0E7A60A0-35CB-4D81-B46F-383A7E1379F1}</author>
    <author>tc={E80DFD9F-C25A-40BC-9E7E-8756DD0B0789}</author>
    <author>tc={815D557B-8408-4C48-90F6-59685920D3DB}</author>
    <author>tc={BE83D7CF-CD90-4078-ADEE-2DC638C87954}</author>
    <author>tc={53F053F4-1748-4716-B022-BAD88EEA39F0}</author>
    <author>tc={F636B1CD-0F88-4B22-9B21-01D3520B9DDF}</author>
    <author>tc={ED887A8A-1B50-40BB-98A1-F97275896983}</author>
    <author>tc={4D89581D-5B51-4BC0-BC63-421368FD273E}</author>
    <author>tc={07B2B4C1-5E5C-47CB-A7A0-D39BC3E36533}</author>
    <author>tc={18F6503C-29EC-4FC1-8C1E-C79C285441CF}</author>
    <author>tc={E99C027B-D5D9-4712-8A36-9BD6A417AB53}</author>
    <author>tc={5DEFDEB9-0FBD-46F6-AB6A-F534454D76A5}</author>
    <author>tc={9E04AED1-EF75-4E2B-816B-C982B8838265}</author>
    <author>tc={4E32FECB-414A-4AB8-B458-51A88F486407}</author>
    <author>tc={F18EB3CD-521D-4D58-A12C-DC00BAABB2DE}</author>
  </authors>
  <commentList>
    <comment ref="A1" authorId="0" shapeId="0" xr:uid="{BC8B2E27-2E76-4B8D-A9FD-0A09BFA7D70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&lt;プロンプト&gt;
Ⅰ No / Zipファイル名 / 資料名
👉 入力値そのまま（加工禁止）</t>
      </text>
    </comment>
    <comment ref="D1" authorId="1" shapeId="0" xr:uid="{6715944C-BB51-474E-865B-2A786BAFECA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Ⅱ 重要度
&lt;プロンプト&gt;
この資料がSDTM実務における意思決定や設計に与える影響度を、★〜★★★で評価せよ
★：文脈理解・情報共有（設計・判断には基本影響しない）
★★：設計・実装における判断の選択肢や根拠を提供する
★★★：設計の前提・原則・必須方針を規定する（従わないと整合性が崩れる）
【判断基準（必ず参照）】
★：知らなくても設計できる
★★：知らないと実装判断で迷う
★★★：知らないと設計を誤る
※内容の長さ・難易度ではなく「設計影響度」で判断すること
■ 出力形式（厳守）
★
★★
★★★</t>
      </text>
    </comment>
    <comment ref="E1" authorId="2" shapeId="0" xr:uid="{64FA0850-F334-4E9E-93CF-2B7EBEF5628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Ⅲ Table of Contents
&lt;プロンプト&gt;
本資料の論点構造を「実務的に意味のある単位」で5〜8個に分解し、
名詞句で / 区切りで簡潔に列挙せよ
■ 出力ルール（厳守）
名詞句のみ（動詞禁止）
最大8個
具体トピック単位（章タイトルの写経禁止）
■ 出力例
背景 / 実務課題 / Validation問題 / アプローチ / 実装方法 / 適用範囲 / 結論</t>
      </text>
    </comment>
    <comment ref="F1" authorId="3" shapeId="0" xr:uid="{BB266940-4F9F-4085-9AD5-2181A4030A7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Ⅳ Summary（最重要）
&lt;プロンプト&gt;
本資料を「実務者が判断に使えるレベル」で詳細に要約せよ。
以下構造を必ず守り、
実務課題 → 原因 → 何が問題 → 解決アプローチ の流れで記載すること。
抽象的説明は禁止し、SDTM実装・Validation・Define.xml等の具体文脈で記載すること。
■ 出力構造（完全固定）
【概要】
（資料の対象と位置づけ）
【実務課題】
①
②
③
【原因・背景】
①
②
【解決アプローチ／示唆】
①
②
③
&lt;重要度別ルール（追加）&gt;
★：
・簡潔に記載（概要＋最低限のポイントのみ）
・実務課題の深掘りは不要（1〜2点で可）
・長文化しない（ナレッジ蓄積対象外）
★★：
・実務課題・判断ポイントを中心に記載
★★★：
・設計判断に使えるレベルで詳細に記載（長文化推奨）
■ 重要補足（追加：他社向けガード）
※長文可（むしろ推奨）
※ただしストーリー的文章ではなく、構造化して記載すること
※一般論・教科書的説明は禁止</t>
      </text>
    </comment>
    <comment ref="G1" authorId="4" shapeId="0" xr:uid="{08A49ACA-B116-44BF-9192-BBE5F83A43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Ⅴ 利用目的
&lt;プロンプト&gt;
本資料を「どの意思決定・設計判断の場面で使うか」を、
実務シナリオとして具体的に3〜5個記述せよ
■ 出力形式
・〜ときに使用
・〜を判断するときに使用
■ NG（明示）
「参考にする」
「理解を深める」</t>
      </text>
    </comment>
    <comment ref="H1" authorId="5" shapeId="0" xr:uid="{E5284451-F0B7-4CCB-88DA-C0BCF30351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Ⅵ 対象成果物 / ドメイン
■ プロンプト①（成果物）
本資料が直接影響する成果物をCDISC成果物単位で列挙せよ
● 出力形式
SDTM / ADaM / Define.xml / SDRG / ADRG / Dataset-XML
■ プロンプト②（ドメイン）
本資料が主に影響するドメインまたは変数カテゴリを列挙せよ（最大8個）
● 出力形式
DM / AE / LB / VS / RELREC / TS
● ルール（重要）
・ドメイン名または変数カテゴリに限定
・「全ドメイン」は禁止
・曖昧表現を使わない</t>
      </text>
    </comment>
    <comment ref="I1" authorId="6" shapeId="0" xr:uid="{416CBA13-D849-46D2-9799-031E5F6F290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Ⅶ 資料作成日
年（YYYY）で統一する</t>
      </text>
    </comment>
    <comment ref="D2" authorId="7" shapeId="0" xr:uid="{25A514F5-7A23-400D-AD9C-5C8080B6331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判定理由（内部ロジック）
知らなくてもSDTM設計・実装は可能
判断・設計の選択にも影響しない
完全に「文脈・背景情報」</t>
      </text>
    </comment>
    <comment ref="D3" authorId="8" shapeId="0" xr:uid="{D27EFEA5-FD51-4499-88C6-8EEFFC3264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判定理由（内部ロジック）
実務判断（PPドメイン・言語運用）には影響する
ただし従わなくてもSDTM自体は構築可能
設計の「前提」ではなく「判断材料」</t>
      </text>
    </comment>
    <comment ref="D4" authorId="9" shapeId="0" xr:uid="{5FF2E824-5381-485E-A65E-3B60949E55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判定理由（内部ロジック）
翻訳依存は設計ミス要因になるが、従わなくてもSDTM構築自体は可能
設計の「必須前提」ではなく「判断・注意事項」
他にも成立している実装パターンが存在する</t>
      </text>
    </comment>
    <comment ref="D5" authorId="10" shapeId="0" xr:uid="{D7E364D8-C73B-411E-8E44-718138099E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SDTM設計・実装・判断に直接影響しない
チーム運営・活動紹介が主目的
知らなくても実務は問題なく成立</t>
      </text>
    </comment>
    <comment ref="D6" authorId="11" shapeId="0" xr:uid="{8A6FFE86-2474-4E00-BADD-498907314E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Validationを「ツール依存」から「設計可能なルール」に変えるアプローチ
P21未対応領域（APドメイン等）では代替手段がない
適用しない場合、Data/Define.xml整合性の説明・制御が困難
👉 Validation設計そのものに関わる = 設計前提</t>
      </text>
    </comment>
    <comment ref="D7" authorId="12" shapeId="0" xr:uid="{9B790AD9-6EFE-4F91-8AE2-2D0605F7203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STUDYID・DM・--DYなどSDTMコア設計の前提を規定
誤るとValidationが成立しない／レビュー不可になる
実装選択ではなく「必須設計方針」レベル
👉 設計が成立する／しないを分ける資料</t>
      </text>
    </comment>
    <comment ref="D8" authorId="13" shapeId="0" xr:uid="{0CDA6B01-B16C-49D6-B2DD-68C3C0BF107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Rの活用事例・チーム活動紹介が主内容
SDTM設計・Validation・規制対応には直接影響しない
知らなくても実務は成立</t>
      </text>
    </comment>
    <comment ref="D9" authorId="14" shapeId="0" xr:uid="{9AE7F541-20AC-4B43-AFFA-342F0F9ECC9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SDTMIGで不足する領域の設計方針（どう拡張するか）を規定
TAUGを使わないと、疾患特有データの格納方法が定義できない
NSV・ドメイン選択・モデリングが破綻
👉 SDTM拡張設計の前提</t>
      </text>
    </comment>
    <comment ref="D10" authorId="15" shapeId="0" xr:uid="{5BD0B47B-B144-4F06-A814-3BE81F3DD3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CT・Dataset・Variableの統一ルール（企業横断）を規定
統一しないとISS/ISE・提出データ統合が成立しない
PMDA要求（同一NDA内でのCT統一）に直結
👉 データ統合設計の前提</t>
      </text>
    </comment>
    <comment ref="D11" authorId="16" shapeId="0" xr:uid="{14E74E01-915D-467A-A51A-859D2C8B9ED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チーム活動・プロトコル作成プロセスの紹介が主目的
SDTM構造・Validation・提出設計には直接影響しない
知らなくても実務は成立</t>
      </text>
    </comment>
    <comment ref="D12" authorId="17" shapeId="0" xr:uid="{391334F4-CC67-417E-8871-A5FE7070D78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模擬試験におけるDV（Deviations）チームの活動報告
SDTM設計・Validation・提出仕様に直接影響しない
知らなくても実務は成立</t>
      </text>
    </comment>
    <comment ref="D13" authorId="18" shapeId="0" xr:uid="{05525B0A-D560-4D66-A88F-3BD40DDE4FE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紙CRFチームの進捗報告・運用内容
SDTM設計・Validation・提出仕様に直接影響しない
知らなくても実務は成立</t>
      </text>
    </comment>
    <comment ref="D14" authorId="19" shapeId="0" xr:uid="{AAA0122E-3AE8-42E6-8101-8DAED4B714A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TAUG（乳がん）の意訳作成およびチーム活動報告が主内容
SDTM設計そのものの原則を規定しているわけではない
知らなくても設計・実装は成立</t>
      </text>
    </comment>
    <comment ref="D15" authorId="20" shapeId="0" xr:uid="{C12D39AA-71D0-460C-B027-B13ADED10B8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TAUGの具体的実装例・詳細モデリングを提供
設計判断（TU/TR/RS、NSV、RELREC）に強く影響する
ただしTAUG自体を補助する位置であり、必須前提ではない
👉 実装判断レベル</t>
      </text>
    </comment>
    <comment ref="D16" authorId="21" shapeId="0" xr:uid="{20AE2A7B-37B5-4758-B6DF-8B333442DA3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腫瘍データ（TU/TR/RS）の具体実装ロジックを示す
実装判断には強く影響するが
TAUGなしでも理論上は設計可能
👉 実装ガイド（強い★★）
</t>
      </text>
    </comment>
    <comment ref="D17" authorId="22" shapeId="0" xr:uid="{780D09FB-4E3A-48B2-B555-AB11EBC63F5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Define.xml設計の中核（VLM設計方針）を扱う
誤るとValidation通過・説明可能性が破綻
かつ明確な規制がない領域＝設計判断を必須化する領域
👉 Define.xml設計の根幹</t>
      </text>
    </comment>
    <comment ref="D18" authorId="23" shapeId="0" xr:uid="{9639CE3A-4920-4ABA-83D5-FA886BCCAFA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模擬試験（PV0363）の全体活動・運用・進捗説明
SDTM設計ルールや提出仕様の規定ではない
知らなくても実務設計は成立</t>
      </text>
    </comment>
    <comment ref="D19" authorId="24" shapeId="0" xr:uid="{50E4ACB2-13CB-4CD6-8F37-86C65880330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CJUG活動内のコミュニケーション施策（チャッティングセッション）の報告
SDTM設計・提出・Validationには直接関係しない
知らなくても実務は成立</t>
      </text>
    </comment>
    <comment ref="D20" authorId="25" shapeId="0" xr:uid="{54855E34-607C-4706-957C-8B29755DFF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CJUG SDTMの年間活動報告（組織・活動・成果一覧）
SDTM設計ルールや提出仕様ではない
知らなくても実務設計は成立</t>
      </text>
    </comment>
    <comment ref="D21" authorId="26" shapeId="0" xr:uid="{9DE905B6-89AC-4C21-A77F-F76D07689BF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模擬試験（PV0363）の進捗共有・チーム運営・タスク整理の会議資料
SDTM設計ルールではなくプロジェクト運営・実行フェーズの話
知らなくても設計自体は成立</t>
      </text>
    </comment>
    <comment ref="D22" authorId="27" shapeId="0" xr:uid="{317A6374-749B-446C-894A-918EDE2BF1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Trial Design Dataset（TA/TE/TI/TS/TV）の実装・PGM設計・Validationを扱う
実務（Spec作成・SAS・P21対応）に直結
ただし原則（IG/Define/XML）なしでも理論上は代替可能
👉 実装レイヤーの強い資料（★★）</t>
      </text>
    </comment>
    <comment ref="D23" authorId="28" shapeId="0" xr:uid="{ED943DDE-9A5D-4290-BDA3-EC67647FECB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SDTMデータのRによる処理・分析・レポーティングを扱う
実務効率（DM・Programming）の改善に直結
ただし提出要件ではないため★★
👉 実装効率化・ツール活用のコア資料</t>
      </text>
    </comment>
    <comment ref="D24" authorId="29" shapeId="0" xr:uid="{DFD211B6-3435-4FE5-8780-7C1672CAF21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Custom Domainの**実態（使用状況・体制・課題）**を把握できる
実務判断（作るか・どう作るか）に影響
ただし設計原則そのものではないため★★
👉 実務意思決定（Custom Domain採用判断）に効く資料</t>
      </text>
    </comment>
    <comment ref="D25" authorId="30" shapeId="0" xr:uid="{6C22E1DB-0FE1-4B5E-8B6D-1F53E353DF9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CT（Controlled Terminology）の全社管理戦略・運用設計を扱う
SDTM/ADaM/統合解析すべてに影響する基盤レイヤー
実装・運用・統合まで横断的に効く
👉 メタデータ統制のコア中のコア（★★★）</t>
      </text>
    </comment>
    <comment ref="G25" authorId="31" shapeId="0" xr:uid="{5E0A5103-7D41-45AE-BC4D-D88959FD76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補足（超重要）
これは今回の中でトップクラスに重要です👇
✔ 本質
👉 問題はこれ
CTは変わる
試験は複数ある
👉 結果
→ データが繋がらない
✔ 解決の本質
👉 CTを直接使わない
👉「内部コードレイヤー」を作る
✔ レイヤー構造
CDISC CT（外部） ↓ 組織コード（内部） ↓ CRF / SDTM / ADaM ↓ 統合解析 
👉 これが核心
✔ 強いポイント
Study依存を排除
CT更新に強い
統合解析が楽
Traceability維持
✅ 全体構造（完成）
★★★層が確定👇
023：CT基本
030：VLM設計
038：CT管理戦略 ←中核
👉 これで
「メタデータ統制（CT / VLM / Custom）」完全攻略 👍</t>
      </text>
    </comment>
    <comment ref="D26" authorId="32" shapeId="0" xr:uid="{EA0003A4-5373-4790-ABB7-9E0D4A05F84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FDA Validator / Business / Conformance Rulesの構造・差分・背景を整理
P21 Validationの本質理解に直結
PMDAルールとの関係も含めた規制横断理解
👉 Validation戦略のコア資料（★★★）</t>
      </text>
    </comment>
    <comment ref="D27" authorId="33" shapeId="0" xr:uid="{37234509-74B8-49E6-8E26-E7EA824DD1C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DMドメインのRACE（人種）の定義・収集・CT・Validationを横断
FDAガイダンス、CT仕様、P21 Validationの矛盾を扱う重要テーマ
実務で必ず揉める領域
👉 DM/CT/Validationの交差点（★★★）</t>
      </text>
    </comment>
    <comment ref="D28" authorId="34" shapeId="0" xr:uid="{810D142C-CE7D-48F8-BD79-B733224511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 QCの**全体戦略（何を・いつ・どうやるか）**を体系化
実務のボトルネック（リソース不足）に対する解決策を提示
Validationと直結する運用品質の中核
👉 QC運用設計のコア資料（★★★）</t>
      </text>
    </comment>
    <comment ref="D29" authorId="35" shapeId="0" xr:uid="{0CF81F90-C595-4C3A-9953-E3359408548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SDTMをレビュー（中央モニタリング）に直接活用する実践例
「提出用」から「業務活用」への転換を扱う
BI・可視化・RBMと連携
👉 SDTM活用フェーズの中核（★★★）</t>
      </text>
    </comment>
    <comment ref="D30" authorId="36" shapeId="0" xr:uid="{214B5934-BD4B-4606-BB14-4861DD68A27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 × AIの応用可能性探索
実務への直接適用はまだ限定的
ただし「次の進化方向」を示す重要資料
👉 未来志向（応用・研究系）ポジション</t>
      </text>
    </comment>
    <comment ref="D31" authorId="37" shapeId="0" xr:uid="{410E68FF-E40B-4579-B932-16C5DC7147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Trial Design（TS/TI/TA）の実践的な修正・運用問題を詳細に扱う
プロトコル変更・EPOCH整合・Validation限界など実務の本質問題を網羅
「なぜTDはいつも崩れるのか」が分かる
👉 Trial Design実務の最重要資料（★★★）</t>
      </text>
    </comment>
    <comment ref="D32" authorId="38" shapeId="0" xr:uid="{3345CFCA-F9A6-45B9-82A7-AAD07E61F3E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**Pinnacle21 Validationの“実運用”**をそのまま再現
エラー原因（EDC / Mapping / Coding）を体系的に分解
Issue Summary（SDRG）作成までカバー
👉 Validation実務の最重要実践資料（★★★）</t>
      </text>
    </comment>
    <comment ref="D33" authorId="39" shapeId="0" xr:uid="{3A74CC1E-65F6-49AA-8442-C646172672A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AE / MH / CM の実コード体系（MedDRA / ATC）を完全実装した実データ
Coding運用（LLT→PT→SOC）をそのまま確認可能
Validation・Review・QCすべてに直結
👉 Coding実務のコア資料（★★★）</t>
      </text>
    </comment>
    <comment ref="D34" authorId="40" shapeId="0" xr:uid="{8D123DCD-600A-4884-8778-0FD146F17E0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SDRG（提出文書）におけるIssue Summaryの実例
Validation結果をどう説明するかという最終工程
規制対応（PMDA / FDA）に直結
👉 Submission品質の最終アウトプット（★★★）</t>
      </text>
    </comment>
    <comment ref="D35" authorId="41" shapeId="0" xr:uid="{D8F24BD2-BCCD-45E1-8C73-0DF29585665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define.xml作成・バリデーション・クロスチェックの実務課題を網羅
Datasetとの整合（XPT vs metadata）の問題を具体的に提示
SDTM提出パッケージの最重要メタデータ領域
👉 Submissionメタデータのコア資料（★★★）</t>
      </text>
    </comment>
    <comment ref="D36" authorId="42" shapeId="0" xr:uid="{0E7A60A0-35CB-4D81-B46F-383A7E1379F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SDRGの全文構成・作成プロセス・実務判断を網羅
（Issue Summary）の上位概念（SDRG全体）
define.xmlと並ぶ提出時の説明資料の中核
👉 SDRG全体理解のコア資料（★★★）</t>
      </text>
    </comment>
    <comment ref="D37" authorId="43" shapeId="0" xr:uid="{E80DFD9F-C25A-40BC-9E7E-8756DD0B078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実際のSDRG完成版（提出レベル）
（Issue Summary）・（方針）の最終アウトプット
define.xmlと並ぶ提出パッケージの本体資料
👉 SDTM提出ドキュメントの最終形（★★★）</t>
      </text>
    </comment>
    <comment ref="D38" authorId="44" shapeId="0" xr:uid="{815D557B-8408-4C48-90F6-59685920D3D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 判定理由
プロジェクト全体（EDC～SDRGまで）を横断的に総括
実務で起きる問題（組織・プロセス）を明示
技術ではなく「運用」の本質を示した資料
👉 SDTM全体をまとめる“最終統括資料”（★★★）</t>
      </text>
    </comment>
    <comment ref="D39" authorId="45" shapeId="0" xr:uid="{BE83D7CF-CD90-4078-ADEE-2DC638C879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中間解析という“非定常ケース”のSDTM設計を網羅
PMDA提出前提の実務判断・設計方針を具体化
通常SDTMとのギャップ（継続データ・未確定値）を扱う
👉 実務で最難関クラスの応用資料（★★★）</t>
      </text>
    </comment>
    <comment ref="D40" authorId="46" shapeId="0" xr:uid="{53F053F4-1748-4716-B022-BAD88EEA39F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Legacy Data Conversion（LDC）という実務の難所を網羅
SDTM変換の“前工程（レガシー移行）”のリアル課題
PMDA対応・辞書・CT・Mappingなど実務トラブルの宝庫
👉 実務トラブル対応力を上げる最重要資料（★★★）</t>
      </text>
    </comment>
    <comment ref="D41" authorId="47" shapeId="0" xr:uid="{F636B1CD-0F88-4B22-9B21-01D3520B9DD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PMDA電子データ提出の必須ドキュメント（Form A/B）を体系化
SDTM提出そのものではなく、規制とのインターフェースを扱う
（define）、（SDRG）を外部に説明する役割
👉 提出プロセス理解の中核資料（★★★）</t>
      </text>
    </comment>
    <comment ref="D42" authorId="48" shapeId="0" xr:uid="{ED887A8A-1B50-40BB-98A1-F972758969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P21で検出できないSDTM問題を体系的に整理した唯一クラス資料
実務で最も致命的な「すり抜けIssue」を網羅
QC・Validation・Mappingの“限界”を明示
👉 品質保証の本質を示す最重要資料（★★★）</t>
      </text>
    </comment>
    <comment ref="D43" authorId="49" shapeId="0" xr:uid="{4D89581D-5B51-4BC0-BC63-421368FD273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「LDC」をさらに実務寄りに具体化した超実践資料
“他人が作ったデータ”という最悪ケースに対する標準手順
PMDA実務・見積・QC・交渉までカバー
👉 実務対応力を決定づける超重要資料（★★★）</t>
      </text>
    </comment>
    <comment ref="D45" authorId="50" shapeId="0" xr:uid="{07B2B4C1-5E5C-47CB-A7A0-D39BC3E3653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Form A/B（別紙8）の実運用・外部委託のリアルな実態
056（LDC）や054（Form A）と直結
“誰が作るべきか・どう作るか”の戦略論
👉 Submission実務の意思決定に直結（★★★）</t>
      </text>
    </comment>
    <comment ref="D46" authorId="51" shapeId="0" xr:uid="{18F6503C-29EC-4FC1-8C1E-C79C285441C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・SDTM・ADaM作成の入出力・依存関係・工程設計が明示されている
・Define.xml／SDRG／Validationの位置づけを構造的に理解できる
・実務の“個別テクニック”ではなく、設計思考そのものを提供
👉CDISC全体プロセス（CDASH → SDTM → ADaM）を体系的に整理した唯一の資料（★★★）</t>
      </text>
    </comment>
    <comment ref="D47" authorId="52" shapeId="0" xr:uid="{E99C027B-D5D9-4712-8A36-9BD6A417AB5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・Form A廃止後の説明責任をcSDRGに集約する前提を規定している
・Define.xml・SDRG・ADRG間の記載分担ルールを実務レベルで具体化している
・Validation（Rule ID記載・Issue説明）の書き方＝レビュー通過要件に直結する
・TraceabilityやLDCPの扱いなど申請パッケージ整合の設計ルールを明示している</t>
      </text>
    </comment>
    <comment ref="D48" authorId="53" shapeId="0" xr:uid="{5DEFDEB9-0FBD-46F6-AB6A-F534454D76A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・cSDRG Tips集の背景・意図・判断根拠を補足する資料
・Form A廃止後のcSDRG統合方針の考え方を明示
・Traceability・Validation・分担設計の判断思想を補強
👉設計の根拠理解には重要だが具体的に「どう書くか」の記載はなく、単独では設計不可 のため ★★です 👍
</t>
      </text>
    </comment>
    <comment ref="D49" authorId="54" shapeId="0" xr:uid="{9E04AED1-EF75-4E2B-816B-C982B88382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・cSDRG作成時の記載方針だけでなく、PMDA技術的ガイド、申請電子データ通知、FAQの要求事項を実務レベルへ落とし込んでいる。
・Define.xml、SDRG、ADRG、LDCPの責任分担と記載場所を具体的に規定している。
・日本語データ、翻訳、SI単位変換、SUPP運用、PC-PPトレーサビリティ等、申請時に設計判断が必要なテーマの実装方針を提示している。</t>
      </text>
    </comment>
    <comment ref="D50" authorId="55" shapeId="0" xr:uid="{4E32FECB-414A-4AB8-B458-51A88F48640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・cSDRG Tips集 Version2.0 の作成背景・検討方法・追加内容を説明する紹介資料である。 
・PMDA通知・技術的ガイド・FAQとcSDRGの関係を整理しており、実装判断の根拠を提供している。
・一方で、具体的な実装ルールや記載要件そのものはVersion2.0本体（054）に記載されている。</t>
      </text>
    </comment>
    <comment ref="D51" authorId="56" shapeId="0" xr:uid="{F18EB3CD-521D-4D58-A12C-DC00BAABB2D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・FDA提出済パッケージをPMDA提出用へ変換する際の設計判断基準を提示している。 
・SDTM修正要否、RELREC対応、SI単位対応、SDTMIGバージョン差異対応、
LDCP説明方針など申請設計に直接影響する。
・修正する／修正しないの判断をトレーサビリティ維持とPMDA要求事項の観点から整理しており、誤るとSubmission全体の整合性が崩れる。</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tc={B89A4483-E8DB-4769-BB1D-85C65C509A18}</author>
    <author>tc={0F7AC260-D957-4593-BF97-8D24F14DAA88}</author>
    <author>tc={86138E9E-3E8B-4BA9-B35C-B55F50B213E6}</author>
    <author>tc={D6D5DCAD-CE70-4BF3-964F-87D0AE70A98D}</author>
    <author>tc={AC465F50-9C8A-4029-A0AE-7437134A5944}</author>
    <author>tc={44FA241B-8F12-4D23-A65A-89B7FD335F70}</author>
    <author>tc={44C49242-4FC7-4C13-9348-3CB828F2B660}</author>
    <author>tc={B04765FE-A605-4060-B375-48E04390CAD8}</author>
    <author>tc={F0A8AD48-9F39-40DB-8902-11895DD7EB2F}</author>
    <author>tc={E7CDF379-32CC-40EB-845C-674FAA97BE77}</author>
    <author>tc={D1E97A88-FD89-4693-AD1B-4A54AC724F4B}</author>
    <author>tc={A07F4398-32E5-4562-9AA6-EBE371B227E5}</author>
    <author>tc={8C49B279-9939-49D5-A43D-2AB46F364200}</author>
    <author>tc={CD282932-0C95-4575-8500-D97E6AC0B668}</author>
    <author>tc={2DDFDE0D-6005-4BC6-89FD-C94B777F169D}</author>
    <author>tc={FB5314EB-98EA-400B-B4F2-2DC260FFEA3C}</author>
    <author>tc={4D2A62F1-3F64-4C2E-9F7D-5636D40D7842}</author>
    <author>tc={80A1EF89-AF02-473D-A825-7F25E1E95AC8}</author>
    <author>tc={82B2A340-D396-42BE-8569-1626E36D9289}</author>
    <author>tc={FB343AF9-39A2-42FA-9801-7226B451A994}</author>
    <author>tc={D4013B40-7565-4D32-9090-DD64688E4F33}</author>
    <author>tc={40660684-05C4-4D94-A5D1-00594BC95855}</author>
    <author>tc={DCC253D6-3409-4FAD-B9F8-196A8FCFC7D1}</author>
    <author>tc={1AA094F0-194C-4D6A-B54F-51D0C3F37309}</author>
    <author>tc={D44B3D13-7300-4697-9EB5-139B2C07F5D0}</author>
    <author>tc={CCFF4D77-F4C6-4971-BA46-A155CFB907C8}</author>
    <author>tc={66159B8C-B9F2-46FF-9817-D49DA36F35A0}</author>
    <author>tc={59D9A74C-550E-40BA-BB8A-E50E4D57F6A9}</author>
    <author>tc={9561BB4E-0352-4B16-970D-BD974133D6E4}</author>
    <author>tc={3B4886CD-8698-4453-9522-6F65441EAB3C}</author>
    <author>tc={BD109534-90EA-436D-9225-BE3E68200E2D}</author>
    <author>tc={4B076FF4-2DF6-45DF-A6C0-836926BD51C2}</author>
    <author>tc={396D8A49-F37B-4701-9DD5-2ECF57304E6A}</author>
    <author>tc={F17E5489-33C3-487B-B361-0439441066CB}</author>
    <author>tc={F16ED7C7-AC76-4885-B8FE-E6A0B86D65B3}</author>
    <author>tc={52529D36-176E-47DC-9AD3-E3A7F1EABC44}</author>
    <author>tc={2778F6FB-FC82-4EAD-95DE-40FA6FC43CE7}</author>
    <author>tc={EC17AAE7-9A07-41AE-B627-B8C8149BCEE7}</author>
    <author>tc={14F0C475-8217-4D7F-882D-FDAE0755A76C}</author>
    <author>tc={D2B73911-6773-48D6-AF9C-87B0BD01EE5A}</author>
    <author>tc={BC9492DC-3115-4CE8-9506-4BF7B9B7CF8F}</author>
    <author>tc={9B15F665-FEA4-453E-9768-03603A98B947}</author>
    <author>tc={FB736FB7-70D5-4950-AA81-4A80E88A0EC0}</author>
    <author>tc={D8FEF203-C8AA-415B-9BC3-7764B6623003}</author>
    <author>tc={5E307CB3-ABAB-48E7-89C2-F8AB2913D0D5}</author>
    <author>tc={0E908632-8F2F-47FF-A714-EACB5D05D2E0}</author>
    <author>tc={74F323A5-8F4A-49B2-BE6B-F7F44D97277C}</author>
    <author>tc={7AE6BBC8-C37B-4C83-99C7-F2D571B4AEB0}</author>
    <author>tc={007CBAD2-DF5D-4580-9EA8-F3B115D170D6}</author>
    <author>tc={F4120CBC-7906-4114-9B94-012D7CFBF8C7}</author>
    <author>tc={CF41451E-18B6-4186-8DDB-E13F59554B90}</author>
    <author>tc={46C5D055-E2BA-4EFD-8CE1-9BB83948127E}</author>
    <author>tc={6FEF2EAF-FC8C-4FA1-B6C3-C1B50BDF6B8F}</author>
    <author>tc={92A1CA09-86BA-4371-AE2F-3543B93D0771}</author>
    <author>tc={CFE7EBAD-E55B-4359-B36B-A57DAAFA12B5}</author>
    <author>tc={9AE42D1B-63D8-4B6C-9ED8-954F77D26A71}</author>
    <author>tc={C1470A54-5B4E-4AEF-A76B-5C782A0F1F7F}</author>
  </authors>
  <commentList>
    <comment ref="A1" authorId="0" shapeId="0" xr:uid="{B89A4483-E8DB-4769-BB1D-85C65C509A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&lt;プロンプト&gt;
Ⅰ No / Zipファイル名 / 資料名
👉 入力値そのまま（加工禁止）</t>
      </text>
    </comment>
    <comment ref="F1" authorId="1" shapeId="0" xr:uid="{0F7AC260-D957-4593-BF97-8D24F14DAA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zipファイル名，資料名（ファイル名）のうち，分かりやすいものを選択</t>
      </text>
    </comment>
    <comment ref="H1" authorId="2" shapeId="0" xr:uid="{86138E9E-3E8B-4BA9-B35C-B55F50B213E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Ⅱ 重要度
&lt;プロンプト&gt;
この資料がSDTM実務における意思決定や設計に与える影響度を、★〜★★★で評価せよ
★：文脈理解・情報共有（設計・判断には基本影響しない）
★★：設計・実装における判断の選択肢や根拠を提供する
★★★：設計の前提・原則・必須方針を規定する（従わないと整合性が崩れる）
【判断基準（必ず参照）】
★：知らなくても設計できる
★★：知らないと実装判断で迷う
★★★：知らないと設計を誤る
※内容の長さ・難易度ではなく「設計影響度」で判断すること
■ 出力形式（厳守）
★
★★
★★★</t>
      </text>
    </comment>
    <comment ref="I1" authorId="3" shapeId="0" xr:uid="{D6D5DCAD-CE70-4BF3-964F-87D0AE70A98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Ⅲ Table of Contents
&lt;プロンプト&gt;
本資料の論点構造を「実務的に意味のある単位」で5〜8個に分解し、
名詞句で / 区切りで簡潔に列挙せよ
■ 出力ルール（厳守）
名詞句のみ（動詞禁止）
最大8個
具体トピック単位（章タイトルの写経禁止）
■ 出力例
背景 / 実務課題 / Validation問題 / アプローチ / 実装方法 / 適用範囲 / 結論</t>
      </text>
    </comment>
    <comment ref="J1" authorId="4" shapeId="0" xr:uid="{AC465F50-9C8A-4029-A0AE-7437134A59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Ⅳ Summary（最重要）
&lt;プロンプト&gt;
本資料を「実務者が判断に使えるレベル」で詳細に要約せよ。
以下構造を必ず守り、
実務課題 → 原因 → 何が問題 → 解決アプローチ の流れで記載すること。
抽象的説明は禁止し、SDTM実装・Validation・Define.xml等の具体文脈で記載すること。
■ 出力構造（完全固定）
【概要】
（資料の対象と位置づけ）
【実務課題】
①
②
③
【原因・背景】
①
②
【解決アプローチ／示唆】
①
②
③
&lt;重要度別ルール（追加）&gt;
★：
・簡潔に記載（概要＋最低限のポイントのみ）
・実務課題の深掘りは不要（1〜2点で可）
・長文化しない（ナレッジ蓄積対象外）
★★：
・実務課題・判断ポイントを中心に記載
★★★：
・設計判断に使えるレベルで詳細に記載（長文化推奨）
■ 重要補足（追加：他社向けガード）
※長文可（むしろ推奨）
※ただしストーリー的文章ではなく、構造化して記載すること
※一般論・教科書的説明は禁止</t>
      </text>
    </comment>
    <comment ref="K1" authorId="5" shapeId="0" xr:uid="{44FA241B-8F12-4D23-A65A-89B7FD335F7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Ⅳ Summary（最重要）
&lt;プロンプト&gt;
本資料を「実務者が判断に使えるレベル」で詳細に要約せよ。
以下構造を必ず守り、
実務課題 → 原因 → 何が問題 → 解決アプローチ の流れで記載すること。
抽象的説明は禁止し、SDTM実装・Validation・Define.xml等の具体文脈で記載すること。
■ 出力構造（完全固定）
【概要】
（資料の対象と位置づけ）
【実務課題】
①
②
③
【原因・背景】
①
②
【解決アプローチ／示唆】
①
②
③
&lt;重要度別ルール（追加）&gt;
★：
・簡潔に記載（概要＋最低限のポイントのみ）
・実務課題の深掘りは不要（1〜2点で可）
・長文化しない（ナレッジ蓄積対象外）
★★：
・実務課題・判断ポイントを中心に記載
★★★：
・設計判断に使えるレベルで詳細に記載（長文化推奨）
■ 重要補足（追加：他社向けガード）
※長文可（むしろ推奨）
※ただしストーリー的文章ではなく、構造化して記載すること
※一般論・教科書的説明は禁止</t>
      </text>
    </comment>
    <comment ref="N1" authorId="6" shapeId="0" xr:uid="{44C49242-4FC7-4C13-9348-3CB828F2B66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Ⅴ 利用目的
&lt;プロンプト&gt;
本資料を「どの意思決定・設計判断の場面で使うか」を、
実務シナリオとして具体的に3〜5個記述せよ
■ 出力形式
・〜ときに使用
・〜を判断するときに使用
■ NG（明示）
「参考にする」
「理解を深める」</t>
      </text>
    </comment>
    <comment ref="O1" authorId="7" shapeId="0" xr:uid="{B04765FE-A605-4060-B375-48E04390CAD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Ⅵ 対象成果物 / ドメイン
■ プロンプト①（成果物）
本資料が直接影響する成果物をCDISC成果物単位で列挙せよ
● 出力形式
SDTM / ADaM / Define.xml / SDRG / ADRG / Dataset-XML
■ プロンプト②（ドメイン）
本資料が主に影響するドメインまたは変数カテゴリを列挙せよ（最大8個）
● 出力形式
DM / AE / LB / VS / RELREC / TS
● ルール（重要）
・ドメイン名または変数カテゴリに限定
・「全ドメイン」は禁止
・曖昧表現を使わない</t>
      </text>
    </comment>
    <comment ref="P1" authorId="8" shapeId="0" xr:uid="{F0A8AD48-9F39-40DB-8902-11895DD7EB2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Ⅶ 資料作成日
年（YYYY）で統一する</t>
      </text>
    </comment>
    <comment ref="H2" authorId="9" shapeId="0" xr:uid="{E7CDF379-32CC-40EB-845C-674FAA97BE7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Validationを「ツール依存」から「設計可能なルール」に変えるアプローチ
P21未対応領域（APドメイン等）では代替手段がない
適用しない場合、Data/Define.xml整合性の説明・制御が困難
👉 Validation設計そのものに関わる = 設計前提</t>
      </text>
    </comment>
    <comment ref="H3" authorId="10" shapeId="0" xr:uid="{D1E97A88-FD89-4693-AD1B-4A54AC724F4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STUDYID・DM・--DYなどSDTMコア設計の前提を規定
誤るとValidationが成立しない／レビュー不可になる
実装選択ではなく「必須設計方針」レベル
👉 設計が成立する／しないを分ける資料</t>
      </text>
    </comment>
    <comment ref="H4" authorId="11" shapeId="0" xr:uid="{A07F4398-32E5-4562-9AA6-EBE371B227E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SDTMIGで不足する領域の設計方針（どう拡張するか）を規定
TAUGを使わないと、疾患特有データの格納方法が定義できない
NSV・ドメイン選択・モデリングが破綻
👉 SDTM拡張設計の前提</t>
      </text>
    </comment>
    <comment ref="H5" authorId="12" shapeId="0" xr:uid="{8C49B279-9939-49D5-A43D-2AB46F36420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CT・Dataset・Variableの統一ルール（企業横断）を規定
統一しないとISS/ISE・提出データ統合が成立しない
PMDA要求（同一NDA内でのCT統一）に直結
👉 データ統合設計の前提</t>
      </text>
    </comment>
    <comment ref="H6" authorId="13" shapeId="0" xr:uid="{CD282932-0C95-4575-8500-D97E6AC0B66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Define.xml設計の中核（VLM設計方針）を扱う
誤るとValidation通過・説明可能性が破綻
かつ明確な規制がない領域＝設計判断を必須化する領域
👉 Define.xml設計の根幹</t>
      </text>
    </comment>
    <comment ref="H7" authorId="14" shapeId="0" xr:uid="{2DDFDE0D-6005-4BC6-89FD-C94B777F169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CT（Controlled Terminology）の全社管理戦略・運用設計を扱う
SDTM/ADaM/統合解析すべてに影響する基盤レイヤー
実装・運用・統合まで横断的に効く
👉 メタデータ統制のコア中のコア（★★★）</t>
      </text>
    </comment>
    <comment ref="N7" authorId="15" shapeId="0" xr:uid="{FB5314EB-98EA-400B-B4F2-2DC260FFEA3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補足（超重要）
これは今回の中でトップクラスに重要です👇
✔ 本質
👉 問題はこれ
CTは変わる
試験は複数ある
👉 結果
→ データが繋がらない
✔ 解決の本質
👉 CTを直接使わない
👉「内部コードレイヤー」を作る
✔ レイヤー構造
CDISC CT（外部） ↓ 組織コード（内部） ↓ CRF / SDTM / ADaM ↓ 統合解析 
👉 これが核心
✔ 強いポイント
Study依存を排除
CT更新に強い
統合解析が楽
Traceability維持
✅ 全体構造（完成）
★★★層が確定👇
023：CT基本
030：VLM設計
038：CT管理戦略 ←中核
👉 これで
「メタデータ統制（CT / VLM / Custom）」完全攻略 👍</t>
      </text>
    </comment>
    <comment ref="H8" authorId="16" shapeId="0" xr:uid="{4D2A62F1-3F64-4C2E-9F7D-5636D40D784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FDA Validator / Business / Conformance Rulesの構造・差分・背景を整理
P21 Validationの本質理解に直結
PMDAルールとの関係も含めた規制横断理解
👉 Validation戦略のコア資料（★★★）</t>
      </text>
    </comment>
    <comment ref="H9" authorId="17" shapeId="0" xr:uid="{80A1EF89-AF02-473D-A825-7F25E1E95A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DMドメインのRACE（人種）の定義・収集・CT・Validationを横断
FDAガイダンス、CT仕様、P21 Validationの矛盾を扱う重要テーマ
実務で必ず揉める領域
👉 DM/CT/Validationの交差点（★★★）</t>
      </text>
    </comment>
    <comment ref="H10" authorId="18" shapeId="0" xr:uid="{82B2A340-D396-42BE-8569-1626E36D928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 QCの**全体戦略（何を・いつ・どうやるか）**を体系化
実務のボトルネック（リソース不足）に対する解決策を提示
Validationと直結する運用品質の中核
👉 QC運用設計のコア資料（★★★）</t>
      </text>
    </comment>
    <comment ref="H11" authorId="19" shapeId="0" xr:uid="{FB343AF9-39A2-42FA-9801-7226B451A99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SDTMをレビュー（中央モニタリング）に直接活用する実践例
「提出用」から「業務活用」への転換を扱う
BI・可視化・RBMと連携
👉 SDTM活用フェーズの中核（★★★）</t>
      </text>
    </comment>
    <comment ref="H12" authorId="20" shapeId="0" xr:uid="{D4013B40-7565-4D32-9090-DD64688E4F3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Trial Design（TS/TI/TA）の実践的な修正・運用問題を詳細に扱う
プロトコル変更・EPOCH整合・Validation限界など実務の本質問題を網羅
「なぜTDはいつも崩れるのか」が分かる
👉 Trial Design実務の最重要資料（★★★）</t>
      </text>
    </comment>
    <comment ref="H13" authorId="21" shapeId="0" xr:uid="{40660684-05C4-4D94-A5D1-00594BC9585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**Pinnacle21 Validationの“実運用”**をそのまま再現
エラー原因（EDC / Mapping / Coding）を体系的に分解
Issue Summary（SDRG）作成までカバー
👉 Validation実務の最重要実践資料（★★★）</t>
      </text>
    </comment>
    <comment ref="H14" authorId="22" shapeId="0" xr:uid="{DCC253D6-3409-4FAD-B9F8-196A8FCFC7D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AE / MH / CM の実コード体系（MedDRA / ATC）を完全実装した実データ
Coding運用（LLT→PT→SOC）をそのまま確認可能
Validation・Review・QCすべてに直結
👉 Coding実務のコア資料（★★★）</t>
      </text>
    </comment>
    <comment ref="Q14" authorId="23" shapeId="0" xr:uid="{1AA094F0-194C-4D6A-B54F-51D0C3F3730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15" authorId="24" shapeId="0" xr:uid="{D44B3D13-7300-4697-9EB5-139B2C07F5D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SDRG（提出文書）におけるIssue Summaryの実例
Validation結果をどう説明するかという最終工程
規制対応（PMDA / FDA）に直結
👉 Submission品質の最終アウトプット（★★★）</t>
      </text>
    </comment>
    <comment ref="Q15" authorId="25" shapeId="0" xr:uid="{CCFF4D77-F4C6-4971-BA46-A155CFB907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16" authorId="26" shapeId="0" xr:uid="{66159B8C-B9F2-46FF-9817-D49DA36F35A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define.xml作成・バリデーション・クロスチェックの実務課題を網羅
Datasetとの整合（XPT vs metadata）の問題を具体的に提示
SDTM提出パッケージの最重要メタデータ領域
👉 Submissionメタデータのコア資料（★★★）</t>
      </text>
    </comment>
    <comment ref="H17" authorId="27" shapeId="0" xr:uid="{59D9A74C-550E-40BA-BB8A-E50E4D57F6A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SDRGの全文構成・作成プロセス・実務判断を網羅
（Issue Summary）の上位概念（SDRG全体）
define.xmlと並ぶ提出時の説明資料の中核
👉 SDRG全体理解のコア資料（★★★）</t>
      </text>
    </comment>
    <comment ref="H18" authorId="28" shapeId="0" xr:uid="{9561BB4E-0352-4B16-970D-BD974133D6E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実際のSDRG完成版（提出レベル）
（Issue Summary）・（方針）の最終アウトプット
define.xmlと並ぶ提出パッケージの本体資料
👉 SDTM提出ドキュメントの最終形（★★★）</t>
      </text>
    </comment>
    <comment ref="Q18" authorId="29" shapeId="0" xr:uid="{3B4886CD-8698-4453-9522-6F65441EAB3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19" authorId="30" shapeId="0" xr:uid="{BD109534-90EA-436D-9225-BE3E68200E2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 判定理由
プロジェクト全体（EDC～SDRGまで）を横断的に総括
実務で起きる問題（組織・プロセス）を明示
技術ではなく「運用」の本質を示した資料
👉 SDTM全体をまとめる“最終統括資料”（★★★）</t>
      </text>
    </comment>
    <comment ref="H20" authorId="31" shapeId="0" xr:uid="{4B076FF4-2DF6-45DF-A6C0-836926BD51C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中間解析という“非定常ケース”のSDTM設計を網羅
PMDA提出前提の実務判断・設計方針を具体化
通常SDTMとのギャップ（継続データ・未確定値）を扱う
👉 実務で最難関クラスの応用資料（★★★）</t>
      </text>
    </comment>
    <comment ref="H21" authorId="32" shapeId="0" xr:uid="{396D8A49-F37B-4701-9DD5-2ECF57304E6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Legacy Data Conversion（LDC）という実務の難所を網羅
SDTM変換の“前工程（レガシー移行）”のリアル課題
PMDA対応・辞書・CT・Mappingなど実務トラブルの宝庫
👉 実務トラブル対応力を上げる最重要資料（★★★）</t>
      </text>
    </comment>
    <comment ref="H22" authorId="33" shapeId="0" xr:uid="{F17E5489-33C3-487B-B361-0439441066C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PMDA電子データ提出の必須ドキュメント（Form A/B）を体系化
SDTM提出そのものではなく、規制とのインターフェースを扱う
（define）、（SDRG）を外部に説明する役割
👉 提出プロセス理解の中核資料（★★★）</t>
      </text>
    </comment>
    <comment ref="H23" authorId="34" shapeId="0" xr:uid="{F16ED7C7-AC76-4885-B8FE-E6A0B86D65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P21で検出できないSDTM問題を体系的に整理した唯一クラス資料
実務で最も致命的な「すり抜けIssue」を網羅
QC・Validation・Mappingの“限界”を明示
👉 品質保証の本質を示す最重要資料（★★★）</t>
      </text>
    </comment>
    <comment ref="H24" authorId="35" shapeId="0" xr:uid="{52529D36-176E-47DC-9AD3-E3A7F1EABC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「LDC」をさらに実務寄りに具体化した超実践資料
“他人が作ったデータ”という最悪ケースに対する標準手順
PMDA実務・見積・QC・交渉までカバー
👉 実務対応力を決定づける超重要資料（★★★）</t>
      </text>
    </comment>
    <comment ref="Q25" authorId="36" shapeId="0" xr:uid="{2778F6FB-FC82-4EAD-95DE-40FA6FC43CE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26" authorId="37" shapeId="0" xr:uid="{EC17AAE7-9A07-41AE-B627-B8C8149BCEE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Form A/B（別紙8）の実運用・外部委託のリアルな実態
056（LDC）や054（Form A）と直結
“誰が作るべきか・どう作るか”の戦略論
👉 Submission実務の意思決定に直結（★★★）</t>
      </text>
    </comment>
    <comment ref="H27" authorId="38" shapeId="0" xr:uid="{14F0C475-8217-4D7F-882D-FDAE0755A76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・SDTM・ADaM作成の入出力・依存関係・工程設計が明示されている
・Define.xml／SDRG／Validationの位置づけを構造的に理解できる
・実務の“個別テクニック”ではなく、設計思考そのものを提供
👉CDISC全体プロセス（CDASH → SDTM → ADaM）を体系的に整理した唯一の資料（★★★）</t>
      </text>
    </comment>
    <comment ref="N27" authorId="39" shapeId="0" xr:uid="{D2B73911-6773-48D6-AF9C-87B0BD01EE5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&lt;変更前&gt;
・CDISC標準導入の全体像理解
・SDTM/ADaM作成プロセスの把握
・初心者教育・オンボーディング
・業務プロセス設計（SOP作成含む）
・組織導入時の検討項目整理</t>
      </text>
    </comment>
    <comment ref="H28" authorId="40" shapeId="0" xr:uid="{BC9492DC-3115-4CE8-9506-4BF7B9B7CF8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・Form A廃止後の説明責任をcSDRGに集約する前提を規定している
・Define.xml・SDRG・ADRG間の記載分担ルールを実務レベルで具体化している
・Validation（Rule ID記載・Issue説明）の書き方＝レビュー通過要件に直結する
・TraceabilityやLDCPの扱いなど申請パッケージ整合の設計ルールを明示している</t>
      </text>
    </comment>
    <comment ref="H29" authorId="41" shapeId="0" xr:uid="{9B15F665-FEA4-453E-9768-03603A98B94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・cSDRG作成時の記載方針だけでなく、PMDA技術的ガイド、申請電子データ通知、FAQの要求事項を実務レベルへ落とし込んでいる。
・Define.xml、SDRG、ADRG、LDCPの責任分担と記載場所を具体的に規定している。
・日本語データ、翻訳、SI単位変換、SUPP運用、PC-PPトレーサビリティ等、申請時に設計判断が必要なテーマの実装方針を提示している。</t>
      </text>
    </comment>
    <comment ref="H30" authorId="42" shapeId="0" xr:uid="{FB736FB7-70D5-4950-AA81-4A80E88A0E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・FDA提出済パッケージをPMDA提出用へ変換する際の設計判断基準を提示している。 
・SDTM修正要否、RELREC対応、SI単位対応、SDTMIGバージョン差異対応、
LDCP説明方針など申請設計に直接影響する。
・修正する／修正しないの判断をトレーサビリティ維持とPMDA要求事項の観点から整理しており、誤るとSubmission全体の整合性が崩れる。</t>
      </text>
    </comment>
    <comment ref="H31" authorId="43" shapeId="0" xr:uid="{D8FEF203-C8AA-415B-9BC3-7764B66230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判定理由（内部ロジック）
実務判断（PPドメイン・言語運用）には影響する
ただし従わなくてもSDTM自体は構築可能
設計の「前提」ではなく「判断材料」</t>
      </text>
    </comment>
    <comment ref="H32" authorId="44" shapeId="0" xr:uid="{5E307CB3-ABAB-48E7-89C2-F8AB2913D0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判定理由（内部ロジック）
翻訳依存は設計ミス要因になるが、従わなくてもSDTM構築自体は可能
設計の「必須前提」ではなく「判断・注意事項」
他にも成立している実装パターンが存在する</t>
      </text>
    </comment>
    <comment ref="H33" authorId="45" shapeId="0" xr:uid="{0E908632-8F2F-47FF-A714-EACB5D05D2E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TAUGの具体的実装例・詳細モデリングを提供
設計判断（TU/TR/RS、NSV、RELREC）に強く影響する
ただしTAUG自体を補助する位置であり、必須前提ではない
👉 実装判断レベル</t>
      </text>
    </comment>
    <comment ref="Q33" authorId="46" shapeId="0" xr:uid="{74F323A5-8F4A-49B2-BE6B-F7F44D97277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34" authorId="47" shapeId="0" xr:uid="{7AE6BBC8-C37B-4C83-99C7-F2D571B4AEB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腫瘍データ（TU/TR/RS）の具体実装ロジックを示す
実装判断には強く影響するが
TAUGなしでも理論上は設計可能
👉 実装ガイド（強い★★）
</t>
      </text>
    </comment>
    <comment ref="Q34" authorId="48" shapeId="0" xr:uid="{007CBAD2-DF5D-4580-9EA8-F3B115D170D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35" authorId="49" shapeId="0" xr:uid="{F4120CBC-7906-4114-9B94-012D7CFBF8C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Trial Design Dataset（TA/TE/TI/TS/TV）の実装・PGM設計・Validationを扱う
実務（Spec作成・SAS・P21対応）に直結
ただし原則（IG/Define/XML）なしでも理論上は代替可能
👉 実装レイヤーの強い資料（★★）</t>
      </text>
    </comment>
    <comment ref="H36" authorId="50" shapeId="0" xr:uid="{CF41451E-18B6-4186-8DDB-E13F59554B9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SDTMデータのRによる処理・分析・レポーティングを扱う
実務効率（DM・Programming）の改善に直結
ただし提出要件ではないため★★
👉 実装効率化・ツール活用のコア資料</t>
      </text>
    </comment>
    <comment ref="H37" authorId="51" shapeId="0" xr:uid="{46C5D055-E2BA-4EFD-8CE1-9BB83948127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Custom Domainの**実態（使用状況・体制・課題）**を把握できる
実務判断（作るか・どう作るか）に影響
ただし設計原則そのものではないため★★
👉 実務意思決定（Custom Domain採用判断）に効く資料</t>
      </text>
    </comment>
    <comment ref="H38" authorId="52" shapeId="0" xr:uid="{6FEF2EAF-FC8C-4FA1-B6C3-C1B50BDF6B8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判定理由
SDTM × AIの応用可能性探索
実務への直接適用はまだ限定的
ただし「次の進化方向」を示す重要資料
👉 未来志向（応用・研究系）ポジション</t>
      </text>
    </comment>
    <comment ref="H39" authorId="53" shapeId="0" xr:uid="{92A1CA09-86BA-4371-AE2F-3543B93D077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・cSDRG Tips集の背景・意図・判断根拠を補足する資料
・Form A廃止後のcSDRG統合方針の考え方を明示
・Traceability・Validation・分担設計の判断思想を補強
👉設計の根拠理解には重要だが具体的に「どう書くか」の記載はなく、単独では設計不可 のため ★★です 👍
</t>
      </text>
    </comment>
    <comment ref="Q39" authorId="54" shapeId="0" xr:uid="{CFE7EBAD-E55B-4359-B36B-A57DAAFA12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 ref="H40" authorId="55" shapeId="0" xr:uid="{9AE42D1B-63D8-4B6C-9ED8-954F77D26A7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判定理由
・cSDRG Tips集 Version2.0 の作成背景・検討方法・追加内容を説明する紹介資料である。 
・PMDA通知・技術的ガイド・FAQとcSDRGの関係を整理しており、実装判断の根拠を提供している。
・一方で、具体的な実装ルールや記載要件そのものはVersion2.0本体（054）に記載されている。</t>
      </text>
    </comment>
    <comment ref="Q40" authorId="56" shapeId="0" xr:uid="{C1470A54-5B4E-4AEF-A76B-5C782A0F1F7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重複:Yが2個目以降～</t>
      </text>
    </comment>
  </commentList>
</comments>
</file>

<file path=xl/sharedStrings.xml><?xml version="1.0" encoding="utf-8"?>
<sst xmlns="http://schemas.openxmlformats.org/spreadsheetml/2006/main" count="1247" uniqueCount="589">
  <si>
    <t>ファイル名</t>
  </si>
  <si>
    <t>重要度</t>
  </si>
  <si>
    <t>Summary</t>
  </si>
  <si>
    <t>資料作成日</t>
  </si>
  <si>
    <t>No</t>
    <phoneticPr fontId="3"/>
  </si>
  <si>
    <t>015_2016_What is PhUSE</t>
  </si>
  <si>
    <t>015_2016_What is PhUSE</t>
    <phoneticPr fontId="3"/>
  </si>
  <si>
    <t>PhUSE_v10.pdf</t>
  </si>
  <si>
    <t>PhUSE_v10.pdf</t>
    <phoneticPr fontId="3"/>
  </si>
  <si>
    <t>★</t>
    <phoneticPr fontId="3"/>
  </si>
  <si>
    <t>016_2016_PhUSE Q&amp;A</t>
    <phoneticPr fontId="3"/>
  </si>
  <si>
    <t>PhuseサマリーFIX.pdf</t>
  </si>
  <si>
    <t>PhuseサマリーFIX.pdf</t>
    <phoneticPr fontId="3"/>
  </si>
  <si>
    <t>★★</t>
    <phoneticPr fontId="3"/>
  </si>
  <si>
    <t>017_2016_CDISC Standards Japanese Translation Activities Updates</t>
  </si>
  <si>
    <t>2.CDISC_JPN_Translation_CJUG_SDTM_Meeting_20160219_Draft2</t>
    <phoneticPr fontId="3"/>
  </si>
  <si>
    <t>対象成果物/有効なドメイン</t>
    <rPh sb="6" eb="8">
      <t>ユウコウ</t>
    </rPh>
    <phoneticPr fontId="3"/>
  </si>
  <si>
    <t>－</t>
  </si>
  <si>
    <t>－</t>
    <phoneticPr fontId="3"/>
  </si>
  <si>
    <t>018_2016_CDISC Japan User Group SDTM team</t>
  </si>
  <si>
    <t>018_2016_CDISC Japan User Group SDTM team</t>
    <phoneticPr fontId="3"/>
  </si>
  <si>
    <t>201602.pdf</t>
  </si>
  <si>
    <t>201602.pdf</t>
    <phoneticPr fontId="3"/>
  </si>
  <si>
    <t>019_2016_Validation of AP domain data using Xquery</t>
    <phoneticPr fontId="3"/>
  </si>
  <si>
    <t>CJUG_SDTM_Kansai_Ogawa_20160408.pdf</t>
  </si>
  <si>
    <t>CJUG_SDTM_Kansai_Ogawa_20160408.pdf</t>
    <phoneticPr fontId="3"/>
  </si>
  <si>
    <t>★★★</t>
    <phoneticPr fontId="3"/>
  </si>
  <si>
    <t>背景（Validation課題） / Pinnacle21の問題点 / XQuery概要 / 実装アプローチ / ルール透明化 / 適用範囲（Define.xml・Dataset-XML） / ユースケース</t>
    <phoneticPr fontId="3"/>
  </si>
  <si>
    <t>Creation of  SDTM for ex-study.pdf</t>
  </si>
  <si>
    <t>Creation of  SDTM for ex-study.pdf</t>
    <phoneticPr fontId="3"/>
  </si>
  <si>
    <t>020_2016_Create SDTM Datasets for extended study</t>
  </si>
  <si>
    <t>020_2016_Create SDTM Datasets for extended study</t>
    <phoneticPr fontId="3"/>
  </si>
  <si>
    <t>RSDTM Activities.pdf</t>
  </si>
  <si>
    <t>RSDTM Activities.pdf</t>
    <phoneticPr fontId="3"/>
  </si>
  <si>
    <t>021_2016_R-SDTM Team Activities</t>
  </si>
  <si>
    <t>021_2016_R-SDTM Team Activities</t>
    <phoneticPr fontId="3"/>
  </si>
  <si>
    <t>taugs_overview_20160610.pdf</t>
  </si>
  <si>
    <t>taugs_overview_20160610.pdf</t>
    <phoneticPr fontId="3"/>
  </si>
  <si>
    <t>022_2016_Therapeutic Area Standard Overview</t>
  </si>
  <si>
    <t>022_2016_Therapeutic Area Standard Overview</t>
    <phoneticPr fontId="3"/>
  </si>
  <si>
    <t>Zipファイル名</t>
    <phoneticPr fontId="3"/>
  </si>
  <si>
    <t>資料名(ファイル名）</t>
    <rPh sb="8" eb="9">
      <t>メイ</t>
    </rPh>
    <phoneticPr fontId="3"/>
  </si>
  <si>
    <t>023_2016_Metadata Management</t>
  </si>
  <si>
    <t>023_2016_Metadata Management</t>
    <phoneticPr fontId="3"/>
  </si>
  <si>
    <t>20160819_CJUG_SDTM_Metadata_management.pdf</t>
  </si>
  <si>
    <t>20160819_CJUG_SDTM_Metadata_management.pdf</t>
    <phoneticPr fontId="3"/>
  </si>
  <si>
    <t>区分</t>
  </si>
  <si>
    <t>拡張子</t>
  </si>
  <si>
    <t>一時ファイル</t>
  </si>
  <si>
    <t>フォルダ</t>
  </si>
  <si>
    <t>ファイル</t>
    <phoneticPr fontId="9"/>
  </si>
  <si>
    <t>.pdf</t>
  </si>
  <si>
    <t>016_2016_Phuse QandA</t>
  </si>
  <si>
    <t>2.CDISC_JPN_Translation_CJUG_SDTM_Meeting_20160219_Draft2.pdf</t>
  </si>
  <si>
    <t>019_2016_Validation of AP domain data using XQuery</t>
  </si>
  <si>
    <t>.zip</t>
  </si>
  <si>
    <t>019_2016_Validation of AP domain data using XQuery.zip</t>
  </si>
  <si>
    <t>024_2016_プロトコルチーム活動概要（アヒルさん）</t>
  </si>
  <si>
    <t>Protocol team_160819.pdf</t>
  </si>
  <si>
    <t>025_2016_Deviationsチームの進捗報告</t>
  </si>
  <si>
    <t>20160818_DVチーム進捗報告.pdf</t>
  </si>
  <si>
    <t>026_2016_紙CRFチームの進捗報告</t>
  </si>
  <si>
    <t>紙CRFチーム進捗報告_final_20160818.pdf</t>
  </si>
  <si>
    <t>027_2016_TAUGチーム成果発表（User Guide for Breast Cancerの意訳）</t>
  </si>
  <si>
    <t>.pptx</t>
  </si>
  <si>
    <t>TAUG-BrCa意訳.pptx</t>
  </si>
  <si>
    <t>TAUG-BrCa意訳_sec0402.pptx</t>
  </si>
  <si>
    <t>TAUG_Cancer Team_報告_20160819_dfart.pdf</t>
  </si>
  <si>
    <t>028_2016_Value Level Metadata に関する検討</t>
  </si>
  <si>
    <t>Value Level Metadataに関する検討.pdf</t>
  </si>
  <si>
    <t>029_2016_アヒルさんチーム 模擬試験</t>
  </si>
  <si>
    <t>20161209_PV0363_Meeting.pdf</t>
  </si>
  <si>
    <t>030_2016_チャッティングセッション実施報告</t>
  </si>
  <si>
    <t>Chatting_Survey.pdf</t>
  </si>
  <si>
    <t>031_2016_ACTIVITY REPORT CJUG SDTM</t>
  </si>
  <si>
    <t>CJUG_SDTM_2016.pdf</t>
  </si>
  <si>
    <t>032_2017_Summary of discussions on PV0363 Trial Design</t>
  </si>
  <si>
    <t>20170310_PV0363_Meeting (MH).pdf</t>
  </si>
  <si>
    <t>033_2017_Trial Design Datasets Programチーム活動報告</t>
  </si>
  <si>
    <t>TDM-PGM_Activity Report_ENG_fixed.pdf</t>
  </si>
  <si>
    <t>034_2017_Rチーム活動報告</t>
  </si>
  <si>
    <t>SDTM+RTeam_Workshop2017-dist.pdf</t>
  </si>
  <si>
    <t>035_2017_Custom Domainチーム活動報告</t>
  </si>
  <si>
    <t>Custom Domain アンケート結果_170512_Final.pdf</t>
  </si>
  <si>
    <t>036_2017_How to manage of best practices for Controlled Terminology</t>
  </si>
  <si>
    <t>Controlled Terminology管理のベストプラクティスを検討する.pdf</t>
  </si>
  <si>
    <t>037_2017_SDTM Validation rules 1.0 VS FDA Validator Rule 1.0and1.1</t>
  </si>
  <si>
    <t>CJUG関西会合_FDAValidatorRule_20170817.pdf</t>
  </si>
  <si>
    <t>038_2017_RACEについて</t>
  </si>
  <si>
    <t>038_2017_RACEについて.zip</t>
  </si>
  <si>
    <t>race issue_201709_fix.pdf</t>
  </si>
  <si>
    <t>039_2018_SDTM QCの手引き</t>
  </si>
  <si>
    <t>SDTM QCの手引き V1.0 プレゼンテーション.pdf</t>
  </si>
  <si>
    <t>040_2018_データレビューチーム報告</t>
  </si>
  <si>
    <t>CJUG SDTM データレビューチーム報告.pdf</t>
  </si>
  <si>
    <t>041_2018_AIチーム報告</t>
  </si>
  <si>
    <t>AIチーム発表201807.pdf</t>
  </si>
  <si>
    <t>042_2019_Trial Design Datasets 試験終了時の整備</t>
  </si>
  <si>
    <t>TDM-PGM_Activity Report_2018.pdf</t>
  </si>
  <si>
    <t>043_2019_CJUG SDTM Pinnacle 21 validation team活動報告</t>
  </si>
  <si>
    <t>CJUG_SDTM_Validation_team_活動報告_20190412.pdf</t>
  </si>
  <si>
    <t>Coding_List_V1.2.pdf</t>
  </si>
  <si>
    <t>SDRG Issue summary記載案_20190122 .pdf</t>
  </si>
  <si>
    <t>044_2019_CJUG SDTM define.xml team活動報告</t>
  </si>
  <si>
    <t>CJUG_ SDTM_define.xml_team_活動報告_20190510.pdf</t>
  </si>
  <si>
    <t>045_2019_Activity Report on Sub Team (Study Data Reviewer’s Guide)</t>
  </si>
  <si>
    <t>Activity Report on Study Data Reviewer’s Guide_Fix.pdf</t>
  </si>
  <si>
    <t>study-data-reviewers-guide.pdf</t>
  </si>
  <si>
    <t>046_2019_アヒルさんチーム模擬試験</t>
  </si>
  <si>
    <t>PV0363_まとめ_20190531.pdf</t>
  </si>
  <si>
    <t>047_2019_承認申請を目的とした中間解析時のSDTMデータセットに関する検討</t>
  </si>
  <si>
    <t>承認申請を目的とした中間解析時のSDTMデータセットに関する検討.pdf</t>
  </si>
  <si>
    <t>048_2020_レガシーデータコンバージョンチーム活動報告</t>
  </si>
  <si>
    <t>LDCチーム活動報告.pdf</t>
  </si>
  <si>
    <t>049_2020_Introduction of PMDA eSubmission Form A and Form B</t>
  </si>
  <si>
    <t>Introduction_of_PMDA_eSubmission_Form-A_and_B_v20200713.pdf</t>
  </si>
  <si>
    <t>050_2020_SDTM Issueの事例収集_最終報告</t>
  </si>
  <si>
    <t>050_2020_SDTM Issueの事例収集_最終報告.zip</t>
  </si>
  <si>
    <t>051_2020_知らない人が作成したデータセットの取り扱い</t>
  </si>
  <si>
    <t>4.4参考資料.pdf</t>
  </si>
  <si>
    <t>知らない人が作成したデータセットの取り扱い.pdf</t>
  </si>
  <si>
    <t>052_2021_Form A Bの作成を含む申請準備業務の外部委託</t>
  </si>
  <si>
    <t>別紙8_20201113.pdf</t>
  </si>
  <si>
    <t>053_2024_CDISC標準初心者のための業務プロセス基礎資料</t>
  </si>
  <si>
    <t>CDISC標準初心者のための業務プロセス基礎資料_ver 1.0.pdf</t>
  </si>
  <si>
    <t>054_2024_cSDRG  記述方法Tips集_Version1.0</t>
  </si>
  <si>
    <t>cSDRG  記述方法Tips集_Version1.0.pdf</t>
  </si>
  <si>
    <t>いまさら3.3_sdrg_ver.1対応スライド.pptx</t>
  </si>
  <si>
    <t>055_2025_cSDRG_記述方法Tips集_ver2.0</t>
  </si>
  <si>
    <t>cSDRG  記述方法Tips集_Version2.0.pdf</t>
  </si>
  <si>
    <t>いまさら3.3_sdrg_ver.2対応スライド.pptx</t>
  </si>
  <si>
    <t>056_2026_FDAに提出したSDTMをPMDAに提出するためのTips集</t>
  </si>
  <si>
    <t>FDAに提出したSDTMをPMDAに提出するためのTips集.pdf</t>
  </si>
  <si>
    <t>利用目的</t>
    <phoneticPr fontId="3"/>
  </si>
  <si>
    <t>PhUSE概要 / 組織構成 / Conference活動 / Working Group活動 / 情報共有基盤 / 学術発信 / 会員制度</t>
    <phoneticPr fontId="3"/>
  </si>
  <si>
    <t>PhUSE運営課題 / 国際展開方針 / 言語運用ルール / Working Group運営 / PPドメイン扱い / 提出文書運用 / 匿名化論点</t>
    <phoneticPr fontId="3"/>
  </si>
  <si>
    <t>SDTM / ADaM / SDRG / ADRG
（ドメイン）
PP</t>
    <phoneticPr fontId="3"/>
  </si>
  <si>
    <t>【概要】
PhUSEの組織概要および、Conference・Working Group・情報共有活動の全体像を説明した資料。
【実務課題】
① CDISC標準外の実務知見の参照先が分散している
【原因・背景】
① 標準仕様では実務運用・ベストプラクティスがカバーされない
【解決アプローチ／示唆】
① PhUSE（Conference・WG・Wiki）を通じて実務知見を参照する</t>
    <phoneticPr fontId="3"/>
  </si>
  <si>
    <t>・PhUSEが標準ではなく実務知見共有基盤であることを理解するときに使用
・WG成果物やConference資料の位置づけを整理するときに使用</t>
    <phoneticPr fontId="3"/>
  </si>
  <si>
    <t>・PPドメインをSDTMで作成するかどうかを判断するときに使用
・英語以外のデータや文書を扱う際の運用方針を決めるときに使用
・標準に記載されていない実務運用（言語・WG）の方針を検討するときに使用</t>
    <phoneticPr fontId="3"/>
  </si>
  <si>
    <t>翻訳プロセス（COP007） / 品質管理要件 / J3Cレビュー体制 / 翻訳計画管理 / 翻訳実務課題 / ベストプラクティス共有 / 公開方針</t>
    <phoneticPr fontId="3"/>
  </si>
  <si>
    <t xml:space="preserve">・日本語仕様書とDefine.xml／SDRGの用語不一致が発生したときに判断するときに使用
・翻訳ベースで設計してよいかを判断するときに使用
・レビュー指摘（用語解釈差）の原因分析を行うときに使用
・翻訳利用時のリスク（解釈ズレ）を評価するときに使用
</t>
    <phoneticPr fontId="3"/>
  </si>
  <si>
    <t>CJUG概要 / メンバー構成 / 活動内容 / ミーティング形式 / チーム分割（Beginner・Expert） / 成果物作成 / 外部連携（PhUSE・SHARE）</t>
    <phoneticPr fontId="3"/>
  </si>
  <si>
    <t>【概要】
CJUGにおけるSDTMチームの構成、活動内容（教育・ディスカッション・成果物作成）およびBeginner/Expertに分かれた運営体制を説明した資料。
【実務課題】
① SDTM知識レベルの異なるメンバー間で教育と実務検討を両立する必要がある
【原因・背景】
① SDTMは学習段階と実務適用段階で求められるスキルが異なる
【解決アプローチ／示唆】
① Beginner／Expertでチームを分け、教育と実務検討を並行して実施する</t>
    <phoneticPr fontId="3"/>
  </si>
  <si>
    <t>・SDTMチームの教育・運営体制を検討するときに使用
・BeginnerとExpertの役割分担を設計するときに使用</t>
    <phoneticPr fontId="3"/>
  </si>
  <si>
    <t>【概要】
Pinnacle21では対応困難なValidation課題（特にAPドメイン）に対し、XQueryを用いてDataset-XMLおよびDefine.xmlを直接検証するアプローチを提示した資料。Validationをツール依存から設計可能なプロセスへ拡張することを目的としている。
【実務課題】
① Pinnacle21がAPドメインを正しく認識できず、ValidationおよびDefine.xml生成が不正確になる
② Validationルールの実装ロジックが不透明で、エラーの妥当性が判断できない
③ Dataset-XMLとDefine.xmlの整合性を標準ツールだけでは担保できない
④ ツールバージョン差異（P21C v2.1.0 / v2.1.1等）により結果が変動する
【原因・背景】
① P21は標準ドメイン前提で設計されており、拡張ドメイン（AP等）への対応が不十分
② Validationルールがブラックボックス化されており、ユーザがロジックを制御できない
【解決アプローチ／示唆】
① Dataset-XMLとDefine.xmlを対象にXQueryで直接Validationを実行する
② Validationルール（SD0064等）を自ら設計・実装し、ロジックを可視化する
③ XMLベースでデータ・メタデータを統一し、同一処理系で整合性を確認する
④ Validationを「ツール実行」ではなく「設計資産」として管理する</t>
    <phoneticPr fontId="3"/>
  </si>
  <si>
    <t>・P21で対応できないドメイン（AP等）のValidation方法を検討するときに使用
・Validationエラーの妥当性を自分で検証・設計したいときに使用
・Define.xmlとDataset-XMLの整合性チェック方法を設計するときに使用
・Validationロジックを説明可能な形で構築するときに使用</t>
    <phoneticPr fontId="3"/>
  </si>
  <si>
    <t>拡張試験背景 / Segmentation vs Consolidation / 規制レビュー視点 / Validation結果 / DM問題 / 時系列整合（--DY） / STUDYID問題 / 設計指針</t>
    <phoneticPr fontId="3"/>
  </si>
  <si>
    <t>【概要】
延長試験（Extension Study）におけるSDTMデータ設計の課題を整理し、Segmentation（分割）とConsolidation（統合）の比較を通じて、Validationおよび規制レビューに耐える設計方針を提示した資料。特にDM・STUDYID・時系列変数に起因する構造的問題を扱う。
【実務課題】
① 延長試験を単純に統合すると、DMに複数レコードが発生し「1被験者1レコード」ルールと衝突する 
② STUDYIDが試験ごとに異なる場合、Validation時に整合性エラーが発生する 
③ --DYなどの時系列変数がDMの複数レコード依存となり、意図しない計算結果になる 
④ P21の内部ロジックにより、DMのレコード順序や値に依存したエラーが発生する 
⑤ RFXSTDTC / EXSTDTCなどドメイン間整合性チェックが破綻し、Validationエラーが多発する
【原因・背景】
① 延長試験は複数プロトコル・複数フェーズで構成されるが、SDTMは単一試験構造を前提としている 
② Validationツール（P21）はDMを基準に処理するため、複数レコード構造を前提としていない
【解決アプローチ／示唆】
① 延長試験であっても「単一試験として扱う（Consolidation）」前提で設計する 
② STUDYIDは全レコードで統一し、変化させない 
③ DMは必ず「1被験者1レコード」にする 
④ --DYなど時系列はDM基準に合わせ、必要な派生はADaMで対応する 
⑤ Validationツールの挙動を前提に設計し、エラー回避ではなく整合性確保を優先する</t>
    <phoneticPr fontId="3"/>
  </si>
  <si>
    <t>・延長試験でSTUDYIDを分割するか統合するか判断するときに使用
・DM設計で被験者一意性が崩れるケースに対応するときに使用
・--DYなど時系列変数の設計方針を決めるときに使用
・P21で大量のValidationエラーが発生した原因を分析するときに使用
・規制レビューを前提としたSDTM構造を設計するときに使用</t>
    <phoneticPr fontId="3"/>
  </si>
  <si>
    <t>SDTM / Define.xml / Dataset-XML
（ドメイン）
AP
DM（整合性参照）
RELREC（ドメイン間リンク）</t>
    <phoneticPr fontId="3"/>
  </si>
  <si>
    <t>SDTM / Define.xml / SDRG / ADRG
（ドメイン）
LB（TEST/TESTCD解釈）
VS（TEST/TESTCD解釈）
QS（用語解釈）</t>
    <phoneticPr fontId="3"/>
  </si>
  <si>
    <t>SDTM / Define.xml / SDRG
（ドメイン）
DM（被験者一意性） 
EX（投与時系列） 
VS（時系列整合） 
AE（時系列整合）
TS（試験定義）</t>
    <phoneticPr fontId="3"/>
  </si>
  <si>
    <t>R概要 / R機能 / 規制対応（R Validation） / CDISCとの連携 / SDTMデータ活用例 / 解析・可視化 / R AnalyticFlow / バージョン管理</t>
    <phoneticPr fontId="3"/>
  </si>
  <si>
    <t>【概要】
Rを用いたSDTMデータの処理・解析・可視化および、R AnalyticFlowやGitHubを活用したデータ処理フロー・管理手法を紹介した活動報告資料。
【実務課題】
① SDTMデータの解析・可視化を効率的に行う手段が限定される
【原因・背景】
① SDTMは主にデータ提出を目的としており、解析・可視化機能は含まれない
【解決アプローチ／示唆】
① Rを活用してSDTMデータの解析・可視化を実施する 
② R AnalyticFlowによりEDCデータからSDTM生成の処理フローを構築する</t>
    <phoneticPr fontId="3"/>
  </si>
  <si>
    <t>・SDTMデータの可視化や簡易解析手法を検討するときに使用
・Rを用いたデータ処理・変換の活用可能性を検討するときに使用
・データ処理フロー（R AnalyticFlowなど）の導入検討をするときに使用</t>
    <phoneticPr fontId="3"/>
  </si>
  <si>
    <t>SDTM
（ドメイン）
QS（解析例）
DM（結合・解析）
DA（解析連携）</t>
    <phoneticPr fontId="3"/>
  </si>
  <si>
    <t>TA標準の背景 / SDTMとの関係 / TAUGの構成 / TA標準一覧 / ドメイン拡張 / 未定義ドメイン / 実装ルール / 規制動向</t>
    <phoneticPr fontId="3"/>
  </si>
  <si>
    <t>【概要】
TAUG（Therapeutic Area User Guide）の役割と構造、およびSDTMIGでは扱えない疾患特有データをどのように標準化・実装するかを示した資料。SDTMの拡張設計における実務指針を提供する。
【実務課題】
① SDTMIGでは疾患特有データ（腫瘍・神経・バイオマーカー等）の格納方法が明確でない 
② 同じデータでもドメイン選択（例：LB / QS / Findings系）が実装者ごとに異なる 
③ 標準変数で表現できない項目が多く、非標準変数（NSV）が乱立する 
④ SDTMIGだけではドメイン拡張や新規ドメイン（OE, NVなど）の扱い判断ができない 
【原因・背景】
① SDTMIGは汎用データ構造の定義であり、疾患特有の臨床評価・観察まではカバーしない 
② 治療領域ごとに必要なデータ構造・評価指標が異なるため、共通仕様だけでは不足する
【解決アプローチ／示唆】
① TAUGを参照し、疾患ごとの標準的なドメイン構成・変数使用方法を採用する 
② SDTMIGで不足する場合は、TAUGに基づいてドメイン拡張・新規ドメインを設計する 
③ NSVはTAUGの例やコンセプトマップを基に整理された形で導入する 
④ SDTMIG → TAUG → NSV設計の順で判断する設計フローを採用する</t>
    <phoneticPr fontId="3"/>
  </si>
  <si>
    <t>・疾患特有データをどのドメインに格納するか判断するときに使用
・標準変数で表現できない項目に対してNSVを採用するか判断するときに使用
・TAUGを使うべきか（SDTMIGだけで対応可能か）を判断するときに使用
・新規ドメイン（OE, NVなど）の採用判断をするときに使用
・レビューでドメイン選択理由を説明するときに使用</t>
    <phoneticPr fontId="3"/>
  </si>
  <si>
    <t>SDTM / ADaM / Define.xml / SDRG
（ドメイン）
TU（腫瘍識別）
TR（測定）
RS（評価）
OE（眼科検査）
NV（神経所見）
QS（評価尺度）
LB（バイオマーカー）</t>
    <phoneticPr fontId="3"/>
  </si>
  <si>
    <t>メタデータ管理対象 / 規制要求（PMDA） / 管理レベル設計 / CT管理戦略 / CT更新問題 / CT適用方針 / ケーススタディ</t>
    <phoneticPr fontId="3"/>
  </si>
  <si>
    <t>【概要】
SDTM/ADaMにおけるメタデータ（Dataset・Variable・Controlled Terminologyなど）の管理方針を整理し、特にCT（Controlled Terminology）のバージョン管理・統一戦略に関する実務課題と対応方針を示した資料。
【実務課題】
① 同一製品・同一NDA内でCTが異なると、データ統合（ISS/ISE）が困難になる 
② CTのバージョン更新（四半期）により、既存データと整合しなくなる 
③ 表示名変更・削除・追加により、過去試験との整合性維持が複雑化する 
④ 試験単位でCTを最適化すると、製品横断で統一できなくなる 
【原因・背景】
① PMDAは同一申請内でCTの統一を求めている 
② CDISC CTは頻繁に更新され、差分管理が困難
③ メタデータ管理レベル
【解決アプローチ／示唆】
① CTはStudy単位ではなくProduct／Sponsorレベルで管理する 
② 初回試験時にCT方針を定義し、後続試験でも一貫して使用する 
③ CT更新は頻度を制御（例：年次更新）し、影響範囲を管理する 
④ 削除・変更されたCTは同義語対応やカスタムCTで整合を維持する 
⑤ メタデータ管理を階層（CDISC／Sponsor／Study）で定義し統制する</t>
    <phoneticPr fontId="3"/>
  </si>
  <si>
    <t>・CTのバージョン更新タイミングを決定するときに使用
・製品横断でCTを統一するか試験単位で最適化するか判断するときに使用
・ISS/ISE用データ統合がうまくいかない原因を分析するときに使用
・Define.xmlやSDRGでCT差異を説明する方針を決めるときに使用
・メタデータ管理（Sponsorレベル）の設計方針を決めるときに使用</t>
    <phoneticPr fontId="3"/>
  </si>
  <si>
    <t>SDTM / ADaM / Define.xml / SDRG
（ドメイン）
全ドメイン相当（CT適用領域）→ ※ルールにより明示展開
AE / LB / VS / CM / QS / EX / DM</t>
    <phoneticPr fontId="3"/>
  </si>
  <si>
    <t>024_2016_Protocol Team Activities</t>
    <phoneticPr fontId="3"/>
  </si>
  <si>
    <t>Protocol team_160819.pdf</t>
    <phoneticPr fontId="3"/>
  </si>
  <si>
    <t>プロトコル作成フロー / チーム構成 / 試験デザイン検討 / チーム間連携 / 国際対応 / スケジュール設計</t>
    <phoneticPr fontId="3"/>
  </si>
  <si>
    <t>【概要】
CJUG SDTM内プロトコルチームの活動内容および、プロトコル作成のフロー（ドラフト作成・レビュー・英語化・他チーム連携）を説明した資料。
【実務課題】
① プロトコル確定前は他チーム（CRF・Trial Design）が作業できない
【原因・背景】
① プロトコルは試験設計の上流工程であり、全成果物の前提となる
【解決アプローチ／示唆】
① 作成中のプロトコルを共有し、並行作業を可能にする 
② 海外メンバーレビューを取り入れ国際対応を進め</t>
    <phoneticPr fontId="3"/>
  </si>
  <si>
    <t>・プロトコル作成フロー（レビュー・連携方法）を整理するときに使用
・チーム間連携（並行作業）の進め方を検討するときに使用</t>
    <phoneticPr fontId="3"/>
  </si>
  <si>
    <t>025_2016_DV Team Progress</t>
    <phoneticPr fontId="3"/>
  </si>
  <si>
    <t>20160818_DVチーム進捗報告.pdf</t>
    <phoneticPr fontId="3"/>
  </si>
  <si>
    <t>活動目的 / 逸脱データ作成 / カテゴリ分類 / 採否判定 / 進捗状況 / 今後方針</t>
    <phoneticPr fontId="3"/>
  </si>
  <si>
    <t>【概要】
模擬試験（PV0363）における逸脱（Deviations）データ作成および症例採否判定の検討内容と進捗を報告した資料。
【実務課題】
① 逸脱データの分類および症例採否（FAS/PPS）の判断基準の整理が必要
【原因・背景】
① CRFデータのみでは逸脱の重み付けや採否判断が明確でない
【解決アプローチ／示唆】
① 逸脱をカテゴリ化（メジャー／マイナー）し、統一基準で採否データを作成する</t>
    <phoneticPr fontId="3"/>
  </si>
  <si>
    <t>・逸脱データの分類方法（メジャー／マイナー）を検討するときに使用
・症例採否（FAS/PPS）の考え方を整理するときに使用</t>
    <phoneticPr fontId="3"/>
  </si>
  <si>
    <t>ADaM / SDRG
（ドメイン）
DV（逸脱）</t>
    <phoneticPr fontId="3"/>
  </si>
  <si>
    <t>026_2016_Paper CRF Team Progress</t>
    <phoneticPr fontId="3"/>
  </si>
  <si>
    <t>紙CRFチーム進捗報告_final_20160818.pdf</t>
    <phoneticPr fontId="3"/>
  </si>
  <si>
    <t>活動目的 / CRF設計方針 / eCRF連携 / 作業フロー / 進捗状況 / チーム構成</t>
    <phoneticPr fontId="3"/>
  </si>
  <si>
    <t>【概要】
プロトコルに基づいた紙CRF設計および、eCRF構築やチェックリスト作成への活用を目的としたチーム活動と進捗を報告した資料。 
【実務課題】
① プロトコルで規定されたデータを漏れなく収集できるCRF設計が必要
【原因・背景】
① CRF設計はプロトコル依存であり、欠落や不整合が後工程に影響する
【解決アプローチ／示唆】
① プロトコルを参照しながらCRFを分担作成し、統合・レビューで整合性を確保する</t>
    <phoneticPr fontId="3"/>
  </si>
  <si>
    <t>・CRF設計（紙CRF→eCRF連携）の進め方を整理するときに使用
・チーム分担によるCRF作成プロセスを検討するときに使用</t>
    <phoneticPr fontId="3"/>
  </si>
  <si>
    <t>027_2016_TAUG Cancer Team Report</t>
    <phoneticPr fontId="3"/>
  </si>
  <si>
    <t>TAUG_Cancer Team_報告_20160819_dfart.pdf</t>
    <phoneticPr fontId="3"/>
  </si>
  <si>
    <t>チーム概要 / 活動内容 / TAUG意訳作成 / Oncology課題共有 / SDTM運用差異 / 成果物</t>
    <phoneticPr fontId="3"/>
  </si>
  <si>
    <t>【概要】
TAUG（Breast Cancer）の意訳作成および、Oncology領域におけるSDTM実務課題の共有を目的としたチーム活動報告資料。 
【実務課題】
① Oncology領域ではSDTMのバージョンやドメイン運用が企業ごとに異なる
【原因・背景】
① TAUGが存在しても、具体的な実装指針や統一的なBest Practiceが不足している
【解決アプローチ／示唆】
① TAUGの該当章を意訳し、理解促進と共有を行う</t>
    <phoneticPr fontId="3"/>
  </si>
  <si>
    <t>・TAUG（特にOncology領域）の読み解き方を整理するときに使用
・チームでのTAUG理解・共有方法を検討するときに使用</t>
    <phoneticPr fontId="3"/>
  </si>
  <si>
    <t>SDTM / Define.xml
（ドメイン）
TU / TR / RS / LB / VS</t>
    <phoneticPr fontId="3"/>
  </si>
  <si>
    <t>SDTM / eCRF / aCRF
（ドメイン）
－</t>
    <phoneticPr fontId="3"/>
  </si>
  <si>
    <t>TAUG-BrCa意訳.pptx</t>
    <phoneticPr fontId="3"/>
  </si>
  <si>
    <t>疾患特性（診断・病期・病理） / 前治療 / リスク因子 / 治療分類 / 腫瘍識別 / TU/TR/RSモデル / RELREC / NSV一覧</t>
    <phoneticPr fontId="3"/>
  </si>
  <si>
    <t>【概要】
TAUG（乳がん）の具体的実装内容（特に3章・4章）を日本語で整理し、腫瘍データモデリング（TU/TR/RS）、病理データ、前治療、NSV設計などの実例を示した資料。
【実務課題】
① 腫瘍データ（識別・測定・評価）をどのドメイン（TU/TR/RS）で表現するか判断が難しい 
② 病理・バイオマーカーなど標準変数で表現できない項目が多い 
③ 前治療（レジメン・治療目的）をどの粒度で格納するか不明確 
④ ドメイン間（TU–TR–PR）の関係性をどう表現するか整理が必要 
【原因・背景】
① Oncology領域ではSDTMIG単独ではモデリング指針が不足している 
② 同一イベントでも「識別」「測定」「評価」でデータの意味が異なる [TAUG-BrCa意訳 | PowerPoint]
【解決アプローチ／示唆】
① 腫瘍は役割ごとに分離
　- TU：識別
　- TR：測定結果
　- RS：評価結果 
② ドメイン間はRELRECやREFIDでリンクする 
③ 前治療はCMGRPID等でレジメン単位にまとめる 
④ 標準で表現できない項目はNSVとして明示的に定義する 
⑤ 治療目的（CURATIVE/PALLIATIVE等）や設定（ADJUVANT等）は変数化して管理</t>
    <phoneticPr fontId="3"/>
  </si>
  <si>
    <t>・腫瘍データをTU/TR/RSにどう分けるか判断するときに使用
・RELRECやREFIDによるドメイン間リンク設計をするときに使用
・前治療（Regimen）をCMでどう表現するか検討するときに使用
・NSVをどの粒度で追加するか判断するときに使用
・Oncology領域の実装例を調べるときに使用</t>
    <phoneticPr fontId="3"/>
  </si>
  <si>
    <t>SDTM / Define.xml / SDRG
（ドメイン）
TU / TR / RS / PR / CM / MI</t>
    <phoneticPr fontId="3"/>
  </si>
  <si>
    <t>TAUG-BrCa意訳_sec0402.pptx</t>
    <phoneticPr fontId="3"/>
  </si>
  <si>
    <t>腫瘍識別 / 標的・非標的病変 / PRドメイン活用 / TU/TR分離 / RELREC設計 / NSV（PRTYP） / 画像データ管理</t>
    <phoneticPr fontId="3"/>
  </si>
  <si>
    <t>【概要】
TAUG（乳がん）の4.2章「腫瘍識別・評価・反応」に特化し、TU/TR/RSドメインの使い分け、PRドメインとの関係、RELRECによるリンク、および非標準変数（PRTYP等）の実装方法を具体例で示した資料。
【実務課題】
① 腫瘍データを「識別・測定・評価」でどう分割するか判断が難しい
② 標的病変／非標的病変の扱い（RECIST準拠）が一貫しない
③ 画像・検査・診察データをどのドメインに配置するか迷う
④ ドメイン間の関係（TU↔TR↔PR）が明確に表現できない
【原因・背景】
① 同一データでも役割（識別・結果・評価）が異なるためモデリング分岐が発生
② SDTMIGは原則を示すが、Oncologyの具体例が不足
【解決アプローチ／示唆】
① 腫瘍データは役割ごとに分離
　TU：識別（存在・部位）
　TR：測定結果
　RS：評価結果
② 画像・検査データはPRドメインで管理可能
　必要に応じてTUとリンク
③ ドメイン間リンク
　RELRECまたはREFIDで関連付け
④ 病変分類
　標的／非標的を区別
　胸水・腹水などは非標的病変として扱う
⑤ NSV活用
　PRTYPなどで病変タイプを補助的に表現</t>
    <phoneticPr fontId="3"/>
  </si>
  <si>
    <t>・TU/TR/RSの切り分けで迷ったときに使用
・腫瘍データをどのドメインに配置するか判断するときに使用
・PRドメインとTU/TRの関係を設計するときに使用
・RELREC／REFIDの設計方針を決めるときに使用
・RECISTベースのデータ構造を設計するときに使用</t>
    <phoneticPr fontId="3"/>
  </si>
  <si>
    <t>SDTM / Define.xml
（ドメイン）
TU / TR / RS / PR</t>
    <phoneticPr fontId="3"/>
  </si>
  <si>
    <t>Value Level Metadataに関する検討.pdf</t>
    <phoneticPr fontId="3"/>
  </si>
  <si>
    <t>028_2016_Value Level Metadata検討</t>
    <phoneticPr fontId="3"/>
  </si>
  <si>
    <t>VLM概要 / 規制整理 / SDTMIGとの不整合 / 問題提起 / 作成方針 / VLM削減 / Comparator設計 / Origin問題</t>
    <phoneticPr fontId="3"/>
  </si>
  <si>
    <t>【概要】
Value Level Metadata（VLM）の設計方針について、Define-XML v2.0・SDTMIG・PMDAルールの不整合を整理し、実務上の最適なVLM設計（最小化・整合性確保）を提示した資料。
【実務課題】
① VLMの作成粒度（どこまで作るか）が規制上明確でない 
② SDTMIGとDefine-XMLでOriginの扱いが矛盾している 
③ VLM過剰作成によりDefine.xmlの可読性が低下する 
④ Comparator設計によりValidationエラーが発生する
【原因・背景】
① VLMはレコードレベル属性を扱うが明確な標準が未整備 
② Define-XML v2.0はOrigin1つ制約を持つ一方、SDTMIGは複数Originを許容 
③ PMDAは最低限（SUPPQUALなど）のみ規定
【解決アプローチ／示唆】
① 必要最小限のVLMのみ作成する
② VLM削減
　Variableレベルで包括定義
　Comment／aCRFで補完
③ Comparator設計
　EQまたはINのみ使用
　NEなど複雑条件は避ける
④ Origin設計
　Define-XML v2.0に従う（VLM側で定義
⑤ 必須要件
　SUPPQUALのQVALは必ずVLM作成</t>
    <phoneticPr fontId="3"/>
  </si>
  <si>
    <t>・VLM作成範囲の判断
・Define.xmlの簡素化設計
・Origin不整合エラー分析
・Comparator設計ルール策定
・SUPPQUAL対応</t>
    <phoneticPr fontId="3"/>
  </si>
  <si>
    <t>Define.xml / SDRG
（ドメイン）
全ドメイン（VLM対象）
特に：SUPPQUAL / Findings系</t>
    <phoneticPr fontId="3"/>
  </si>
  <si>
    <t>20161209_PV0363_Meeting.pdf</t>
    <phoneticPr fontId="3"/>
  </si>
  <si>
    <t>029_2016_アヒルさんチーム 模擬試験</t>
    <phoneticPr fontId="3"/>
  </si>
  <si>
    <t>模擬試験概要 / プロトコル設計 / タスク構造 / チーム構成 / EDC選定 / データ作成フロー / 組織運営</t>
    <phoneticPr fontId="3"/>
  </si>
  <si>
    <t>【概要】
模擬試験（PV0363）における全体設計、チーム構成、EDC選定、データ作成プロセス（プロトコル〜SDTM/ADaM/SDRG）までの一連の活動内容を整理したミーティング資料。
【実務課題】
① 試験全体のタスク（プロトコル→CRF→EDC→SDTM→ADaM→SDRG）の連携管理が複雑
【原因・背景】
① SDTM対応試験では多チーム・多工程の並行作業が必要
【解決アプローチ／示唆】
① タスク分解とチーム分担（TDM・CRF・EDC・Mapping・SDRG等）で進行管理する</t>
    <phoneticPr fontId="3"/>
  </si>
  <si>
    <t>・SDTMプロジェクトの全体フローを把握するときに使用
・チーム分担（CRF、EDC、Mapping等）の設計を参考にする
・模擬試験ベースの教育・トレーニング設計に使用</t>
    <phoneticPr fontId="3"/>
  </si>
  <si>
    <t>SDTM / ADaM / SDRG / Protocol / CRF / Define.xml
（ドメイン）
全ドメイン（対象横断）</t>
    <phoneticPr fontId="3"/>
  </si>
  <si>
    <t>Chatting_Survey.pdf</t>
    <phoneticPr fontId="3"/>
  </si>
  <si>
    <t>030_2016_チャッティングセッション実施報告</t>
    <phoneticPr fontId="3"/>
  </si>
  <si>
    <t>目的 / 実施方法 / 開催概要 / アンケート結果 / 良かった点 / 改善点 / 今後方針</t>
    <phoneticPr fontId="3"/>
  </si>
  <si>
    <t>【概要】
CJUG内で実施されたチャッティングセッション（小グループでの情報交換会）の目的・運営方法・アンケート結果をまとめた活動報告資料。
【実務課題】
① 参加者同士の情報共有・課題共有の場が不足している
【原因・背景】
① 通常の会合では自由な議論や横断的な交流が起きにくい
【解決アプローチ／示唆】
① 少人数グループで自由に議論する場を設けることで課題共有とネットワーク構築を促進する</t>
    <phoneticPr fontId="3"/>
  </si>
  <si>
    <t>・チーム内コミュニケーション施策を検討するときに使用
・ナレッジ共有や課題共有の場の設計を検討するときに使用</t>
    <phoneticPr fontId="3"/>
  </si>
  <si>
    <t>CJUG_SDTM_2016.pdf</t>
    <phoneticPr fontId="3"/>
  </si>
  <si>
    <t>031_2016_ACTIVITY REPORT CJUG SDTM</t>
    <phoneticPr fontId="3"/>
  </si>
  <si>
    <t>CJUG概要 / 組織構成 / 模擬試験（アヒルチーム） / カメチーム活動 / 年間成果 / チャッティング施策 / 外部発表</t>
    <phoneticPr fontId="3"/>
  </si>
  <si>
    <t>【概要】
CJUG SDTMの2016年活動（組織構造、模擬試験プロジェクト、各サブチームの成果、外部発表など）をまとめた年間活動報告資料。 
【実務課題】
① 多数チーム・多活動の全体像が把握しづらい
【原因・背景】
① SDTM導入・運用が組織横断で進められているため活動が分散している
【解決アプローチ／示唆】
① チーム構造（Ducks／Turtles）や活動成果を体系的に整理して共有する</t>
    <phoneticPr fontId="3"/>
  </si>
  <si>
    <t>・CJUG全体活動の俯瞰を把握するときに使用
・各サブチーム成果（TAUG、VLM、QC等）の位置づけを理解するときに使用
・教育資料としてSDTMコミュニティ活動を説明するときに使用</t>
    <phoneticPr fontId="3"/>
  </si>
  <si>
    <t>20170310_PV0363_Meeting (MH).pdf</t>
    <phoneticPr fontId="3"/>
  </si>
  <si>
    <t>032_2017_Summary of discussions on PV0363 Trial Design</t>
    <phoneticPr fontId="3"/>
  </si>
  <si>
    <t>活動更新 / 新チーム発足 / プロトコル / タスクカスケード / チーム構成 / EDC検討 / 逸脱管理 / プロジェクト管理</t>
    <phoneticPr fontId="3"/>
  </si>
  <si>
    <t>【概要】
模擬試験（PV0363）の進捗状況、新規チーム（Data Review、入力ガイド等）の立ち上げ、EDC選定、タスク分解（CRF・Mapping・SDRG等）および全体運営方針を整理した会議資料。
【実務課題】
① タスク増加により全体管理（EDC・CRF・SDTM・ADaM連携）が複雑化
【原因・背景】
① SDTM対応試験では工程（プロトコル→EDC→SDTM→解析）が多段階かつ並行進行
【解決アプローチ／示唆】
① チーム分割（CRF、EDC、Mapping、SDRG、Data Review等）と役割分担で管理する</t>
    <phoneticPr fontId="3"/>
  </si>
  <si>
    <t>・SDTMプロジェクトの実行フェーズの進め方を理解する
・チーム構成（CRF、EDC、Data Review等）の設計参考
・タスク分解（Trial Design→Define.xmlまで）の流れ把握</t>
    <phoneticPr fontId="3"/>
  </si>
  <si>
    <t>SDTM / ADaM / SDRG / Define.xml / CRF
（ドメイン）
全ドメイン（横断）</t>
    <phoneticPr fontId="3"/>
  </si>
  <si>
    <t>TDM-PGM_Activity Report_ENG_fixed.pdf</t>
    <phoneticPr fontId="3"/>
  </si>
  <si>
    <t>033_2017_Trial Design Datasets Programチーム活動報告</t>
    <phoneticPr fontId="3"/>
  </si>
  <si>
    <t>概要 / 活動内容 / Spec設計 / SAS実装 / Validation / エラー対応 / 考察</t>
    <phoneticPr fontId="3"/>
  </si>
  <si>
    <t>【概要】
Trial Design Dataset（TA/TE/TI/TS/TV）の仕様作成、SASプログラムによるデータ生成、Pinnacle21によるValidation、およびその設計方針と課題を整理した活動報告。
【実務課題】
① Trial Design Datasetの仕様（Spec）をどこまで定義するか不明確 
② SASプログラム設計（変更耐性・再利用性）の考慮が必要 
③ P21 Validationエラー（TSドメイン中心）の解釈と対応が難しい 
④ 規制（PMDA/FDA）とP21仕様の差異への対応が必要
【原因・背景】
① TDM→SDTM変換は標準プロセスがあるが実装詳細は各社依存 
② TSなどTrial DesignドメインはCTやコード体系の制約が厳しい 
③ Validationルールはツール依存（P21）かつ当局要求と完全一致しない
【解決アプローチ／示唆】
① Specは最小限に設計する
　Dataset名、変数属性など必要最低限に絞る
② プログラム設計（重要）
　TDM（Excel）を入力ソース化
　Excel差し替えで再実行可能にする
　INCLUDEで一括実行設計
③ Validation早期実施
　Pinnacle21で早期検証
　下流工程の手戻りを防ぐ
④ エラー対応の考え方
　TSのCTエラー（例：PCLAS）はCT未登録の場合あり
　　PMDA：可能なコードのみ使用
　　FDA：レビュー部門と相談
⑤ 規制理解（重要）
　SASプログラマも規制要件を理解する必要あり
　例：XPTファイル名は小文字</t>
    <phoneticPr fontId="3"/>
  </si>
  <si>
    <t>・Trial Design Dataset（TA/TE/TI/TS/TV）を実装するときに使用
・Spec設計（どこまで書くか）の判断に使用
・SASプログラム設計（再利用性・変更耐性）に使用
・P21 Validationエラーの解釈に使用
・TSドメインのCTエラー対応方針検討に使用</t>
    <phoneticPr fontId="3"/>
  </si>
  <si>
    <t>SDTM / Define.xml / P21 Validation
（ドメイン）
TA / TE / TI / TS / TV</t>
    <phoneticPr fontId="3"/>
  </si>
  <si>
    <t>SDTM+RTeam_Workshop2017-dist.pdf</t>
    <phoneticPr fontId="3"/>
  </si>
  <si>
    <t>034_2017_Rチーム活動報告</t>
    <phoneticPr fontId="3"/>
  </si>
  <si>
    <t>Rチーム概要 / SDTM取込 / データ加工 / 可視化 / R AnalyticFlow / R Markdown / Git管理 / 再現性</t>
    <phoneticPr fontId="3"/>
  </si>
  <si>
    <r>
      <t>【概要】
SDTMデータをRで取り込み、加工・可視化・レポート作成・バージョン管理までを一貫して実施する方法を整理し、データマネジメント業務の効率化・再現性向上を目的とした実践的なワークショップ資料。
【実務課題】
① SDTMデータの解析・可視化・レポート作成が手作業／非効率
② レポート更新時に再計算・整合性が崩れる
③ プログラムや解析手順のバージョン管理が不十分
④ SAS依存が強く柔軟性が低い
【原因・背景】
① 従来はSAS中心でレポートとデータ処理が分離
② 手動更新（Excel・Word）に依存し再現性が低い
③ プログラムと成果物が分離して管理されがち
【解決アプローチ／示唆】
① SDTMデータをRに直接取り込み
　XPT → read.xport()
　Dataset-XML → read.dataset.xml()
② データ加工・分析（tidyverse）
　mutate / group_by / join で加工
　被験者単位等の集計・比較が容易
③ 可視化
　グラフ化（例：箱ひげ図）でデータチェック・レビュー強化 
④ R AnalyticFlow活用
　GUIベースで処理フロー構築
　非プログラマでも利用可能
⑤ R Markdown（最重要）
　コード＋レポートを一体化
　データ更新時に自動再計算
　</t>
    </r>
    <r>
      <rPr>
        <sz val="9"/>
        <color theme="1"/>
        <rFont val="Segoe UI Symbol"/>
        <family val="3"/>
      </rPr>
      <t>👉</t>
    </r>
    <r>
      <rPr>
        <sz val="9"/>
        <color theme="1"/>
        <rFont val="ＭＳ ゴシック"/>
        <family val="3"/>
        <charset val="128"/>
      </rPr>
      <t xml:space="preserve"> 再現性（Reproducibility）確保
⑥ Git / GitHubでバージョン管理
　スクリプト管理
　チーム開発・変更履歴保持
⑦ 規制対応（注意点）
　R使用時もCSV環境と同様にバリデーション必要</t>
    </r>
    <phoneticPr fontId="3"/>
  </si>
  <si>
    <t>・SDTMデータをRで扱うときに使用
・データレビュー／可視化設計
・レポート自動生成（再現性確保）
・DM業務の効率化検討
・プログラム版本管理（Git導入）</t>
    <phoneticPr fontId="3"/>
  </si>
  <si>
    <t>SDTM / 解析レポート / プログラム
（ドメイン）
全ドメイン（横断）</t>
    <phoneticPr fontId="3"/>
  </si>
  <si>
    <t>Custom Domain アンケート結果_170512_Final.pdf</t>
    <phoneticPr fontId="3"/>
  </si>
  <si>
    <t>035_2017_Custom Domainチーム活動報告</t>
    <phoneticPr fontId="3"/>
  </si>
  <si>
    <t>調査概要 / Custom Domain経験 / Domain種別 / 数 / 疾患領域 / SOP体制 / テンプレート / 実例 / 所感</t>
    <phoneticPr fontId="3"/>
  </si>
  <si>
    <r>
      <t>【概要】
Custom Domainの作成経験、使用領域、運用体制（SOP・組織・テンプレート）などについて、業界内の実態をアンケート形式で整理した資料。
【実務課題】
① Custom Domainがどの程度使われているか不明確
② どのクラス（Findings / Interventions等）で使うか判断が難しい
③ 社内体制（SOP・テンプレート）が未整備
④ どこまで作るべきか判断基準がない
【原因・背景】
① CDISC標準ではすべてをカバーできずCustom Domainが必要になる
② しかし標準化ガイドが弱く会社ごとに判断が分かれる
③ 組織的なルール整備が遅れている
【解決アプローチ／示唆】
① 利用実態（重要）
　約半数がCustom Domain作成経験あり
② 用途分布
　Findings：約6割
　Interventions：約3割
　</t>
    </r>
    <r>
      <rPr>
        <sz val="9"/>
        <color theme="1"/>
        <rFont val="Segoe UI Symbol"/>
        <family val="3"/>
      </rPr>
      <t>👉</t>
    </r>
    <r>
      <rPr>
        <sz val="9"/>
        <color theme="1"/>
        <rFont val="ＭＳ ゴシック"/>
        <family val="3"/>
        <charset val="128"/>
      </rPr>
      <t xml:space="preserve"> Findings用途が中心
③ 規模感
　約8割が1〜4個のCustom Domain
　</t>
    </r>
    <r>
      <rPr>
        <sz val="9"/>
        <color theme="1"/>
        <rFont val="Segoe UI Symbol"/>
        <family val="3"/>
      </rPr>
      <t>👉</t>
    </r>
    <r>
      <rPr>
        <sz val="9"/>
        <color theme="1"/>
        <rFont val="ＭＳ ゴシック"/>
        <family val="3"/>
        <charset val="128"/>
      </rPr>
      <t xml:space="preserve"> 限定的に使用が主流
④ 体制課題（重要）
　SOPなし：約90%
　組織定義なし：約86%
　テンプレートなし：約74%
　</t>
    </r>
    <r>
      <rPr>
        <sz val="9"/>
        <color theme="1"/>
        <rFont val="Segoe UI Symbol"/>
        <family val="3"/>
      </rPr>
      <t>👉</t>
    </r>
    <r>
      <rPr>
        <sz val="9"/>
        <color theme="1"/>
        <rFont val="ＭＳ ゴシック"/>
        <family val="3"/>
        <charset val="128"/>
      </rPr>
      <t xml:space="preserve"> ほぼ全社バラバラ状態
⑤ 典型ユースケース
　画像検査
　病理・遺伝
　特殊検査
　コンプライアンス情報
　食事・生活情報
　</t>
    </r>
    <r>
      <rPr>
        <sz val="9"/>
        <color theme="1"/>
        <rFont val="Segoe UI Symbol"/>
        <family val="3"/>
      </rPr>
      <t>👉</t>
    </r>
    <r>
      <rPr>
        <sz val="9"/>
        <color theme="1"/>
        <rFont val="ＭＳ ゴシック"/>
        <family val="3"/>
        <charset val="128"/>
      </rPr>
      <t xml:space="preserve"> 非標準データ領域で使用</t>
    </r>
    <phoneticPr fontId="3"/>
  </si>
  <si>
    <t>・Custom Domainを作るか判断するときに使用
・どのクラス（Findings等）で設計するかの参考
・社内SOP整備の必要性判断
・他社の実務実態を把握</t>
    <phoneticPr fontId="3"/>
  </si>
  <si>
    <t>SDTM
（ドメイン）
Custom Domain全般</t>
    <phoneticPr fontId="3"/>
  </si>
  <si>
    <t>Controlled Terminology管理のベストプラクティスを検討する.pdf</t>
    <phoneticPr fontId="3"/>
  </si>
  <si>
    <t>036_2017_How to manage of best practices for Controlled Terminology</t>
    <phoneticPr fontId="3"/>
  </si>
  <si>
    <t>課題認識 / 業務プロセス / 問題パターン / ベストプラクティス / CT標準設計 / CT更新管理 / 組織コード / メタデータ管理 / 実装例</t>
    <phoneticPr fontId="3"/>
  </si>
  <si>
    <r>
      <t>【概要】
Controlled Terminology（CT）の頻繁な更新と試験間不整合の問題を解決するため、組織横断でのCT管理プロセス、独自ID（組織コード）による一貫管理、およびメタデータ基盤を用いたベストプラクティスを提示した資料。
【実務課題】
① CTが頻繁に更新され、試験ごとに不整合が発生 
② CRF・SDTM・ADaM間でコード不一致 → トレーサビリティ崩壊 
③ 試験間でCTバージョンが異なり統合解析が困難 
④ CT変換（BUN→UREAN等）が各試験で発生し負荷増大
【原因・背景】
① CDISC CTは当局要件により「常に最新使用」が求められる 
② CTは外部管理（NCI）で企業側で制御不可 
③ 組織標準がCT更新に追随できていない
【解決アプローチ／示唆】
① CT管理は「組織標準で統制」する（最重要）
　複数試験横断でCT標準を管理
　試験ごとにバラバラにさせない 
② 独自ID（組織コード）の導入
　NCI C-Codeとは別に社内IDを付与
　　同じ意味 → 同一ID
　　異なる意味 → 別ID
　</t>
    </r>
    <r>
      <rPr>
        <sz val="6"/>
        <color theme="1"/>
        <rFont val="Segoe UI Symbol"/>
        <family val="3"/>
      </rPr>
      <t>👉</t>
    </r>
    <r>
      <rPr>
        <sz val="6"/>
        <color theme="1"/>
        <rFont val="ＭＳ ゴシック"/>
        <family val="3"/>
        <charset val="128"/>
      </rPr>
      <t xml:space="preserve"> 例：BUN（旧CT）
　　　　UREAN（新CT）→ 同一組織コードで紐づけ
③ CT更新時の運用ルール（重要）
　追加 → 必要に応じ採用
　削除 → 同義語へマッピング
　変更 → Submission Value更新
　</t>
    </r>
    <r>
      <rPr>
        <sz val="6"/>
        <color theme="1"/>
        <rFont val="Segoe UI Symbol"/>
        <family val="3"/>
      </rPr>
      <t>👉</t>
    </r>
    <r>
      <rPr>
        <sz val="6"/>
        <color theme="1"/>
        <rFont val="ＭＳ ゴシック"/>
        <family val="3"/>
        <charset val="128"/>
      </rPr>
      <t>「CT差分を吸収する層」を作る
④ CT変更をStudy側に押し付けない
　NG：CRF→SDTMマッピング時に変換
　OK：Governance層で吸収
　</t>
    </r>
    <r>
      <rPr>
        <sz val="6"/>
        <color theme="1"/>
        <rFont val="Segoe UI Symbol"/>
        <family val="3"/>
      </rPr>
      <t>👉</t>
    </r>
    <r>
      <rPr>
        <sz val="6"/>
        <color theme="1"/>
        <rFont val="ＭＳ ゴシック"/>
        <family val="3"/>
        <charset val="128"/>
      </rPr>
      <t xml:space="preserve"> Study担当者の負担を減らす
⑤ メタデータ管理システム化
　管理対象：CRF標準
　　　　　　SDTM標準
　　　　　　ADaM標準
　　　　　　CT標準
　</t>
    </r>
    <r>
      <rPr>
        <sz val="6"/>
        <color theme="1"/>
        <rFont val="Segoe UI Symbol"/>
        <family val="3"/>
      </rPr>
      <t>👉</t>
    </r>
    <r>
      <rPr>
        <sz val="6"/>
        <color theme="1"/>
        <rFont val="ＭＳ ゴシック"/>
        <family val="3"/>
        <charset val="128"/>
      </rPr>
      <t xml:space="preserve"> 中央管理で整合性維持
⑥ Bookmark（使用サブセット）の概念
　CT全体ではなく使用するコードのみ抽出
　</t>
    </r>
    <r>
      <rPr>
        <sz val="6"/>
        <color theme="1"/>
        <rFont val="Segoe UI Symbol"/>
        <family val="3"/>
      </rPr>
      <t>👉</t>
    </r>
    <r>
      <rPr>
        <sz val="6"/>
        <color theme="1"/>
        <rFont val="ＭＳ ゴシック"/>
        <family val="3"/>
        <charset val="128"/>
      </rPr>
      <t xml:space="preserve"> 実務効率化
⑦ 統合解析の鍵
　LBTESTN（内部コード）で統一
　CT違っても同一データとして扱う
　</t>
    </r>
    <r>
      <rPr>
        <sz val="6"/>
        <color theme="1"/>
        <rFont val="Segoe UI Symbol"/>
        <family val="3"/>
      </rPr>
      <t>👉</t>
    </r>
    <r>
      <rPr>
        <sz val="6"/>
        <color theme="1"/>
        <rFont val="ＭＳ ゴシック"/>
        <family val="3"/>
        <charset val="128"/>
      </rPr>
      <t xml:space="preserve"> ADaM統合を簡単化</t>
    </r>
    <phoneticPr fontId="3"/>
  </si>
  <si>
    <t>・CT管理ポリシー策定
・組織標準（CRF/SDTM/ADaM）設計
・複数試験統合（ISS/ISE）
・Define.xml / Metadata設計
・CT変換ロジック設計</t>
    <phoneticPr fontId="3"/>
  </si>
  <si>
    <t>SDTM / ADaM / Define.xml / CT
（ドメイン）
全ドメイン（横断）</t>
    <phoneticPr fontId="3"/>
  </si>
  <si>
    <t>CJUG関西会合_FDAValidatorRule_20170817.pdf</t>
    <phoneticPr fontId="3"/>
  </si>
  <si>
    <t>037_2017_SDTM Validation rules 1.0 VS FDA Validator Rule 1.0and1.1</t>
    <phoneticPr fontId="3"/>
  </si>
  <si>
    <t>Validationルール分類 / FDAルール構造 / SDTM vs FDA差分 / 削除・追加分析 / PMDA対応 / ドメイン変更 / 考察</t>
    <phoneticPr fontId="3"/>
  </si>
  <si>
    <r>
      <t>【概要】
SDTM Validation Rules 1.0 と FDA Business / Validator Rules（v1.0, v1.1）を比較し、ルールの削除・追加・変更の傾向を分析することで、規制要件におけるValidationの本質を整理した資料。
【実務課題】
① SDTM/P21ルールとFDAルールの関係が分かりにくい
② Validationエラーの優先度・意味が判断困難
③ PMDA/FDAで要求が異なる
④ どのエラーを直すべきか判断基準が曖昧
【原因・背景】
① Validationルールは3層に分かれている
  CDISC（Conformance Rules）
  FDA Technical Rejection Criteria
  FDA Business / Validator Rules
② FDA Validator Rulesは
  Severityなし
　全ルール同格
　</t>
    </r>
    <r>
      <rPr>
        <sz val="6"/>
        <color theme="1"/>
        <rFont val="Segoe UI Symbol"/>
        <family val="3"/>
      </rPr>
      <t>👉</t>
    </r>
    <r>
      <rPr>
        <sz val="6"/>
        <color theme="1"/>
        <rFont val="ＭＳ ゴシック"/>
        <family val="3"/>
        <charset val="128"/>
      </rPr>
      <t xml:space="preserve">「エラー=即NGではない」
【解決アプローチ／示唆】
① Validationルール構造理解（最重要）
　a)CDISC Conformance Rules（標準準拠）
　b)FDA Technical Rejection Criteria（提出拒否）
　c)FDA Business / Validator Rules（レビュー適合）
</t>
    </r>
    <r>
      <rPr>
        <sz val="6"/>
        <color theme="1"/>
        <rFont val="Segoe UI Symbol"/>
        <family val="3"/>
      </rPr>
      <t>👉</t>
    </r>
    <r>
      <rPr>
        <sz val="6"/>
        <color theme="1"/>
        <rFont val="ＭＳ ゴシック"/>
        <family val="3"/>
        <charset val="128"/>
      </rPr>
      <t xml:space="preserve"> 役割が違う
② 大量削除の本質
 314 → 162（大幅削減）
  さらに 162 → 115
 原因</t>
    </r>
    <r>
      <rPr>
        <sz val="6"/>
        <color theme="1"/>
        <rFont val="Segoe UI Symbol"/>
        <family val="3"/>
      </rPr>
      <t>👇</t>
    </r>
    <r>
      <rPr>
        <sz val="6"/>
        <color theme="1"/>
        <rFont val="ＭＳ ゴシック"/>
        <family val="3"/>
        <charset val="128"/>
      </rPr>
      <t xml:space="preserve">
  多くが→ SDTM Conformance Rulesへ移行
  または
  → 規制変更
</t>
    </r>
    <r>
      <rPr>
        <sz val="6"/>
        <color theme="1"/>
        <rFont val="Segoe UI Symbol"/>
        <family val="3"/>
      </rPr>
      <t xml:space="preserve">  👉</t>
    </r>
    <r>
      <rPr>
        <sz val="6"/>
        <color theme="1"/>
        <rFont val="ＭＳ ゴシック"/>
        <family val="3"/>
        <charset val="128"/>
      </rPr>
      <t xml:space="preserve"> ルールの整理・再編が進行中
③ Validation責任の分散
 削除理由</t>
    </r>
    <r>
      <rPr>
        <sz val="6"/>
        <color theme="1"/>
        <rFont val="Segoe UI Symbol"/>
        <family val="3"/>
      </rPr>
      <t>👇</t>
    </r>
    <r>
      <rPr>
        <sz val="6"/>
        <color theme="1"/>
        <rFont val="ＭＳ ゴシック"/>
        <family val="3"/>
        <charset val="128"/>
      </rPr>
      <t xml:space="preserve">
  SDTM Conformanceに存在 → CDISC側
規制要件変更 → FDA側
</t>
    </r>
    <r>
      <rPr>
        <sz val="6"/>
        <color theme="1"/>
        <rFont val="Segoe UI Symbol"/>
        <family val="3"/>
      </rPr>
      <t>👉</t>
    </r>
    <r>
      <rPr>
        <sz val="6"/>
        <color theme="1"/>
        <rFont val="ＭＳ ゴシック"/>
        <family val="3"/>
        <charset val="128"/>
      </rPr>
      <t xml:space="preserve"> Validationは一つのルール体系ではない
④ PMDAルールの取り込み
 例：
  日付整合性
  DM / EXの必須チェック
  Arm整合性
</t>
    </r>
    <r>
      <rPr>
        <sz val="6"/>
        <color theme="1"/>
        <rFont val="Segoe UI Symbol"/>
        <family val="3"/>
      </rPr>
      <t xml:space="preserve">  👉</t>
    </r>
    <r>
      <rPr>
        <sz val="6"/>
        <color theme="1"/>
        <rFont val="ＭＳ ゴシック"/>
        <family val="3"/>
        <charset val="128"/>
      </rPr>
      <t xml:space="preserve"> FDA側にも追加
</t>
    </r>
    <r>
      <rPr>
        <sz val="6"/>
        <color theme="1"/>
        <rFont val="Segoe UI Symbol"/>
        <family val="3"/>
      </rPr>
      <t xml:space="preserve">  👉</t>
    </r>
    <r>
      <rPr>
        <sz val="6"/>
        <color theme="1"/>
        <rFont val="ＭＳ ゴシック"/>
        <family val="3"/>
        <charset val="128"/>
      </rPr>
      <t xml:space="preserve"> PMDA ↔ FDAは実質収束方向
⑤ 重要な実務ルール
 ✔ DMデータは必須
 ✔ AEはMedDRAコード必須
 ✔ 日付整合性チェック
 ✔ Datasetサイズ制限あり
</t>
    </r>
    <r>
      <rPr>
        <sz val="6"/>
        <color theme="1"/>
        <rFont val="Segoe UI Symbol"/>
        <family val="3"/>
      </rPr>
      <t xml:space="preserve">   👉</t>
    </r>
    <r>
      <rPr>
        <sz val="6"/>
        <color theme="1"/>
        <rFont val="ＭＳ ゴシック"/>
        <family val="3"/>
        <charset val="128"/>
      </rPr>
      <t xml:space="preserve"> Technical Rejectionに直結するものあり
⑥ P21エラーの扱い（超重要）
  エラーは全部直す必要はない
  修正 or 説明（RG）で対応
</t>
    </r>
    <r>
      <rPr>
        <sz val="6"/>
        <color theme="1"/>
        <rFont val="Segoe UI Symbol"/>
        <family val="3"/>
      </rPr>
      <t xml:space="preserve">  👉</t>
    </r>
    <r>
      <rPr>
        <sz val="6"/>
        <color theme="1"/>
        <rFont val="ＭＳ ゴシック"/>
        <family val="3"/>
        <charset val="128"/>
      </rPr>
      <t xml:space="preserve"> これが現実</t>
    </r>
    <r>
      <rPr>
        <sz val="6"/>
        <color theme="1"/>
        <rFont val="Segoe UI Symbol"/>
        <family val="3"/>
      </rPr>
      <t>👇</t>
    </r>
    <r>
      <rPr>
        <sz val="6"/>
        <color theme="1"/>
        <rFont val="ＭＳ ゴシック"/>
        <family val="3"/>
        <charset val="128"/>
      </rPr>
      <t xml:space="preserve">
   「Validationは説明文化」
⑦ ルール未反映問題
  Business Rule → Validatorに未反映あり
</t>
    </r>
    <r>
      <rPr>
        <sz val="6"/>
        <color theme="1"/>
        <rFont val="Segoe UI Symbol"/>
        <family val="3"/>
      </rPr>
      <t xml:space="preserve">  👉</t>
    </r>
    <r>
      <rPr>
        <sz val="6"/>
        <color theme="1"/>
        <rFont val="ＭＳ ゴシック"/>
        <family val="3"/>
        <charset val="128"/>
      </rPr>
      <t xml:space="preserve"> 自動チェックに頼れない</t>
    </r>
    <phoneticPr fontId="3"/>
  </si>
  <si>
    <t>・Pinnacle21結果の解釈
・Validation方針決定（Fix vs Explain）
・Reviewer’s Guide作成
・FDA/PMDA規制理解
・Submission準備</t>
    <phoneticPr fontId="3"/>
  </si>
  <si>
    <t>SDTM / ADaM / P21 Validation / Reviewer’s Guide
（ドメイン）
全ドメイン</t>
    <phoneticPr fontId="3"/>
  </si>
  <si>
    <t>race issue_201709_fix.pdf</t>
    <phoneticPr fontId="3"/>
  </si>
  <si>
    <t>038_2017_RACEについて</t>
    <phoneticPr fontId="3"/>
  </si>
  <si>
    <t>RACE定義 / US基準 / データ収集 / MULTIPLE/OTHER問題 / Validation / RACE vs RACEC / CT構造</t>
    <phoneticPr fontId="3"/>
  </si>
  <si>
    <r>
      <t xml:space="preserve">【概要】
RACEデータの定義、収集方法、Controlled Terminology制約（非拡張）、Pinnacle21 Validationとの整合、さらにRACEとRACECの役割分担について整理し、実務上の混乱とその対応方針を示した資料。
【実務課題】
① RACE定義が曖昧（民族・国籍・文化が混在）
② 非拡張CTなのに「MULTIPLE」「OTHER」が使われる
③ P21でWarning/Errorが発生
④ RACEとRACECの使い分けが不明確
⑤ グローバル試験で米国分類が合わない
【原因・背景】
① RACEは科学的定義ではない
米国国勢調査由来
自己申告ベース
</t>
    </r>
    <r>
      <rPr>
        <sz val="6"/>
        <color theme="1"/>
        <rFont val="Segoe UI Symbol"/>
        <family val="3"/>
      </rPr>
      <t>👉</t>
    </r>
    <r>
      <rPr>
        <sz val="6"/>
        <color theme="1"/>
        <rFont val="ＭＳ ゴシック"/>
        <family val="3"/>
        <charset val="128"/>
      </rPr>
      <t xml:space="preserve"> 文化・社会的分類
② CT構造の問題
CDISC RACE
→ 5カテゴリ固定（非拡張） [race issue...201709_fix | PDF]
実務→ 多様な細分類が必要
</t>
    </r>
    <r>
      <rPr>
        <sz val="6"/>
        <color theme="1"/>
        <rFont val="Segoe UI Symbol"/>
        <family val="3"/>
      </rPr>
      <t>👉</t>
    </r>
    <r>
      <rPr>
        <sz val="6"/>
        <color theme="1"/>
        <rFont val="ＭＳ ゴシック"/>
        <family val="3"/>
        <charset val="128"/>
      </rPr>
      <t xml:space="preserve"> 現実とCTが不一致
③ グローバル試験問題
「South African」など→ CTに直接マッピングできない
【解決アプローチ／示唆】
① FDA推奨収集方法（最重要）
Step1：Ethnicity
Hispanic / Not
Step2：Race（複数選択可） [race issue...201709_fix | PDF]
</t>
    </r>
    <r>
      <rPr>
        <sz val="6"/>
        <color theme="1"/>
        <rFont val="Segoe UI Symbol"/>
        <family val="3"/>
      </rPr>
      <t>👉</t>
    </r>
    <r>
      <rPr>
        <sz val="6"/>
        <color theme="1"/>
        <rFont val="ＭＳ ゴシック"/>
        <family val="3"/>
        <charset val="128"/>
      </rPr>
      <t xml:space="preserve"> 複数選択OK
② MULTIPLEの扱い
使用OK
ただし「CT値ではない」
複数回答のフラグ
</t>
    </r>
    <r>
      <rPr>
        <sz val="6"/>
        <color theme="1"/>
        <rFont val="Segoe UI Symbol"/>
        <family val="3"/>
      </rPr>
      <t>👉</t>
    </r>
    <r>
      <rPr>
        <sz val="6"/>
        <color theme="1"/>
        <rFont val="ＭＳ ゴシック"/>
        <family val="3"/>
        <charset val="128"/>
      </rPr>
      <t xml:space="preserve"> 本質
RACE = MULTIPLE
SUPPDM or RACEC = 詳細保持
③ OTHERの扱い（重要）
NG傾向</t>
    </r>
    <r>
      <rPr>
        <sz val="6"/>
        <color theme="1"/>
        <rFont val="Segoe UI Symbol"/>
        <family val="3"/>
      </rPr>
      <t>👇</t>
    </r>
    <r>
      <rPr>
        <sz val="6"/>
        <color theme="1"/>
        <rFont val="ＭＳ ゴシック"/>
        <family val="3"/>
        <charset val="128"/>
      </rPr>
      <t xml:space="preserve">
RACEは非拡張 → OTHER不可
例外</t>
    </r>
    <r>
      <rPr>
        <sz val="6"/>
        <color theme="1"/>
        <rFont val="Segoe UI Symbol"/>
        <family val="3"/>
      </rPr>
      <t>👇</t>
    </r>
    <r>
      <rPr>
        <sz val="6"/>
        <color theme="1"/>
        <rFont val="ＭＳ ゴシック"/>
        <family val="3"/>
        <charset val="128"/>
      </rPr>
      <t xml:space="preserve">
RACECで詳細保持してロールアップ 
</t>
    </r>
    <r>
      <rPr>
        <sz val="6"/>
        <color theme="1"/>
        <rFont val="Segoe UI Symbol"/>
        <family val="3"/>
      </rPr>
      <t>👉</t>
    </r>
    <r>
      <rPr>
        <sz val="6"/>
        <color theme="1"/>
        <rFont val="ＭＳ ゴシック"/>
        <family val="3"/>
        <charset val="128"/>
      </rPr>
      <t xml:space="preserve"> 原則
OTHERは直接使わない→ RACECで管理
④ RACE vs RACEC（超重要）
構造</t>
    </r>
    <r>
      <rPr>
        <sz val="6"/>
        <color theme="1"/>
        <rFont val="Segoe UI Symbol"/>
        <family val="3"/>
      </rPr>
      <t>👇</t>
    </r>
    <r>
      <rPr>
        <sz val="6"/>
        <color theme="1"/>
        <rFont val="ＭＳ ゴシック"/>
        <family val="3"/>
        <charset val="128"/>
      </rPr>
      <t xml:space="preserve">
RACEC（詳細）
   ↓ マッピング
RACE（5カテゴリ）
例</t>
    </r>
    <r>
      <rPr>
        <sz val="6"/>
        <color theme="1"/>
        <rFont val="Segoe UI Symbol"/>
        <family val="3"/>
      </rPr>
      <t>👇</t>
    </r>
    <r>
      <rPr>
        <sz val="6"/>
        <color theme="1"/>
        <rFont val="ＭＳ ゴシック"/>
        <family val="3"/>
        <charset val="128"/>
      </rPr>
      <t xml:space="preserve">
Japanese → ASIAN
Filipino → ASIAN
</t>
    </r>
    <r>
      <rPr>
        <sz val="6"/>
        <color theme="1"/>
        <rFont val="Segoe UI Symbol"/>
        <family val="3"/>
      </rPr>
      <t>👉</t>
    </r>
    <r>
      <rPr>
        <sz val="6"/>
        <color theme="1"/>
        <rFont val="ＭＳ ゴシック"/>
        <family val="3"/>
        <charset val="128"/>
      </rPr>
      <t xml:space="preserve"> RACECが実体、RACEは分類
⑤ Validation対応（重要）
P21では
MULTIPLE → Warning
CT違反 → Error/Warning
</t>
    </r>
    <r>
      <rPr>
        <sz val="6"/>
        <color theme="1"/>
        <rFont val="Segoe UI Symbol"/>
        <family val="3"/>
      </rPr>
      <t>👉</t>
    </r>
    <r>
      <rPr>
        <sz val="6"/>
        <color theme="1"/>
        <rFont val="ＭＳ ゴシック"/>
        <family val="3"/>
        <charset val="128"/>
      </rPr>
      <t xml:space="preserve"> しかし
Warning = 問題ではない
RGで説明すればOK
</t>
    </r>
    <r>
      <rPr>
        <sz val="6"/>
        <color theme="1"/>
        <rFont val="Segoe UI Symbol"/>
        <family val="3"/>
      </rPr>
      <t>👉</t>
    </r>
    <r>
      <rPr>
        <sz val="6"/>
        <color theme="1"/>
        <rFont val="ＭＳ ゴシック"/>
        <family val="3"/>
        <charset val="128"/>
      </rPr>
      <t xml:space="preserve"> つまり
039と完全一致：説明文化
⑥ 実務運用モデル（推奨）
CRF
複数選択＋Other自由記述
　↓
SDTM
RACE：5分類 or MULTIPLE
RACEC：詳細保持
SUPPDM：補足
⑦ CT構造の進化
RACEC：70+種類以上
増加中
</t>
    </r>
    <r>
      <rPr>
        <sz val="6"/>
        <color theme="1"/>
        <rFont val="Segoe UI Symbol"/>
        <family val="3"/>
      </rPr>
      <t>👉</t>
    </r>
    <r>
      <rPr>
        <sz val="6"/>
        <color theme="1"/>
        <rFont val="ＭＳ ゴシック"/>
        <family val="3"/>
        <charset val="128"/>
      </rPr>
      <t xml:space="preserve"> 詳細はRACECで吸収</t>
    </r>
    <phoneticPr fontId="3"/>
  </si>
  <si>
    <t>・DMドメイン設計
・CRF設計（人種項目）
・RACE / RACECマッピング
・P21エラー対応
・Reviewer’s Guide記載</t>
    <phoneticPr fontId="3"/>
  </si>
  <si>
    <t>SDTM（DM） / Define.xml / P21 Validation</t>
    <phoneticPr fontId="3"/>
  </si>
  <si>
    <t>SDTM QCの手引き V1.0 プレゼンテーション.pdf</t>
    <phoneticPr fontId="3"/>
  </si>
  <si>
    <t>039_2018_SDTM QCの手引き</t>
    <phoneticPr fontId="3"/>
  </si>
  <si>
    <t>目的 / QC定義 / 問題点 / 生産性向上 / QC削減戦略 / 優先順位付け / 実施タイミング / 標準化</t>
    <phoneticPr fontId="3"/>
  </si>
  <si>
    <r>
      <t>【概要】
限られたリソースの中でSDTM品質を確保するため、QC対象の選定、実施タイミング、効率化手法（自動化・標準化）を整理し、合理的なQC戦略を提示した資料。
【実務課題】
① QC対象が多すぎてリソース不足
② 全件チェックは非現実的
③ QCの優先順位が曖昧
④ QCタイミングが適切でない
⑤ 標準化不足により毎回手作業
【原因・背景】
① QC量 ≫ リソース量（時間・人・予算） 
② SDTM対象が広範（Dataset + Define + SDRGなど） 
③ QC設計が体系化されていない 
【解決アプローチ／示唆】
① QCの本質定義（重要）
QC対象</t>
    </r>
    <r>
      <rPr>
        <sz val="6"/>
        <color theme="1"/>
        <rFont val="Segoe UI Symbol"/>
        <family val="3"/>
      </rPr>
      <t>👇</t>
    </r>
    <r>
      <rPr>
        <sz val="6"/>
        <color theme="1"/>
        <rFont val="ＭＳ ゴシック"/>
        <family val="3"/>
        <charset val="128"/>
      </rPr>
      <t xml:space="preserve">
SDTM Dataset / Define.xml / SDRG / aCRF / Complex Algorithm Doc
② 基本戦略（超重要）
a) QCの生産性を上げる
b) QC量を減らす
③ 生産性向上策
✔ 自動化
Pinnacle21活用
✔ チェックリスト化
QC項目標準化
④ QC量削減（超重要）
✔ 対象絞り込み
✔ エラー発生抑制
✔ 標準・テンプレ活用
⑤ 優先順位付け（コアロジック）
利用者影響（重要度）
エラー発生率
ルール明確性 
⑥ エラー抑制設計
✔ 図でロジック可視化
✔ 複雑な導出ルールの共有
</t>
    </r>
    <r>
      <rPr>
        <sz val="6"/>
        <color theme="1"/>
        <rFont val="Segoe UI Symbol"/>
        <family val="3"/>
      </rPr>
      <t>👉</t>
    </r>
    <r>
      <rPr>
        <sz val="6"/>
        <color theme="1"/>
        <rFont val="ＭＳ ゴシック"/>
        <family val="3"/>
        <charset val="128"/>
      </rPr>
      <t xml:space="preserve"> 人依存を排除
⑦ QCタイミング設計（重要）
複数段階</t>
    </r>
    <r>
      <rPr>
        <sz val="6"/>
        <color theme="1"/>
        <rFont val="Segoe UI Symbol"/>
        <family val="3"/>
      </rPr>
      <t>👇</t>
    </r>
    <r>
      <rPr>
        <sz val="6"/>
        <color theme="1"/>
        <rFont val="ＭＳ ゴシック"/>
        <family val="3"/>
        <charset val="128"/>
      </rPr>
      <t xml:space="preserve">
初期：Spec段階
中期：ドラフト
後期：最終
⑧ 外部データ標準化
例：臨床検査
TESTCD標準化
SI単位付与
LOINC利用
⑨ 標準化・テンプレート（超重要）
✔ マッピングルール固定
✔ aCRFアノテーション統一
一度QC
→ 次以降省略可能 
⑩ 最終結論（核心）
全部QCは不可能
濃淡をつける
QC削減もQC業務</t>
    </r>
    <phoneticPr fontId="3"/>
  </si>
  <si>
    <t>・QC戦略設計
・QCチェックリスト作成
・P21 + Manual QC設計
・SDTM品質保証
・作業効率化</t>
    <phoneticPr fontId="3"/>
  </si>
  <si>
    <t>SDTM / Define.xml / SDRG / aCRF
（ドメイン）
全ドメイン</t>
    <phoneticPr fontId="3"/>
  </si>
  <si>
    <r>
      <t>【概要】
SDTMを入力データとして中央モニタリング（RBM）を実施し、可視化ツール（Power BI）を用いて安全性や試験進捗を分析することで、SDTMを日常業務に活用する方法を示した実践的な活動報告。
【実務課題】
① SDTMが「申請用だけ」で業務に活用されない
② 中央モニタリングのデータ統一が困難
③ 試験ごとに設定（Settingコスト）が高い
④ データレビューが属人化
【原因・背景】
① SDTMは標準化されているが分析活用が未成熟
② RBM（リスクベースモニタリング）に統一データが必要
③ 可視化基盤（BI）が未整備
【解決アプローチ／示唆】
① SDTMをInput Dataとして活用（最重要）
目的</t>
    </r>
    <r>
      <rPr>
        <sz val="6"/>
        <color theme="1"/>
        <rFont val="Segoe UI Symbol"/>
        <family val="3"/>
      </rPr>
      <t>👇</t>
    </r>
    <r>
      <rPr>
        <sz val="6"/>
        <color theme="1"/>
        <rFont val="ＭＳ ゴシック"/>
        <family val="3"/>
        <charset val="128"/>
      </rPr>
      <t xml:space="preserve">
Settingコスト削減
エラー削減
日常業務活用
② 中央モニタリング設計
TransCelerate RBM指標をベース
Safety中心
SDTMで取得可能な情報のみ対象
</t>
    </r>
    <r>
      <rPr>
        <sz val="6"/>
        <color theme="1"/>
        <rFont val="Segoe UI Symbol"/>
        <family val="3"/>
      </rPr>
      <t>👉</t>
    </r>
    <r>
      <rPr>
        <sz val="6"/>
        <color theme="1"/>
        <rFont val="ＭＳ ゴシック"/>
        <family val="3"/>
        <charset val="128"/>
      </rPr>
      <t xml:space="preserve"> ポイント
SDTMで取れないものは捨てる
③ ドメイン別分析
AE / DS / LB
④ BIツール活用
Microsoft Power BI採用
Freeツール限定検討
</t>
    </r>
    <r>
      <rPr>
        <sz val="6"/>
        <color theme="1"/>
        <rFont val="Segoe UI Symbol"/>
        <family val="3"/>
      </rPr>
      <t>👉</t>
    </r>
    <r>
      <rPr>
        <sz val="6"/>
        <color theme="1"/>
        <rFont val="ＭＳ ゴシック"/>
        <family val="3"/>
        <charset val="128"/>
      </rPr>
      <t xml:space="preserve"> ポイント
ノンプログラマでも使用可能
可視化重視
⑤ アウトプット例（重要）
✔ 施設別AE件数
✔ 時系列AE
✔ LLT分布
✔ 重症度割合
✔ 中止理由
</t>
    </r>
    <r>
      <rPr>
        <sz val="6"/>
        <color theme="1"/>
        <rFont val="Segoe UI Symbol"/>
        <family val="3"/>
      </rPr>
      <t>👉</t>
    </r>
    <r>
      <rPr>
        <sz val="6"/>
        <color theme="1"/>
        <rFont val="ＭＳ ゴシック"/>
        <family val="3"/>
        <charset val="128"/>
      </rPr>
      <t xml:space="preserve"> = 実際のCentral Monitoringダッシュボード
⑥ 前提条件（超重要）
</t>
    </r>
    <r>
      <rPr>
        <sz val="6"/>
        <color theme="1"/>
        <rFont val="Segoe UI Symbol"/>
        <family val="3"/>
      </rPr>
      <t>👉</t>
    </r>
    <r>
      <rPr>
        <sz val="6"/>
        <color theme="1"/>
        <rFont val="ＭＳ ゴシック"/>
        <family val="3"/>
        <charset val="128"/>
      </rPr>
      <t xml:space="preserve"> データ品質が必須
例</t>
    </r>
    <r>
      <rPr>
        <sz val="6"/>
        <color theme="1"/>
        <rFont val="Segoe UI Symbol"/>
        <family val="3"/>
      </rPr>
      <t>👇</t>
    </r>
    <r>
      <rPr>
        <sz val="6"/>
        <color theme="1"/>
        <rFont val="ＭＳ ゴシック"/>
        <family val="3"/>
        <charset val="128"/>
      </rPr>
      <t xml:space="preserve">
USUBJID整合性
SITEID整合性
⑦ 課題
データクリーニング依存
BIツール選定難
計算変数はプログラミング必要</t>
    </r>
    <phoneticPr fontId="3"/>
  </si>
  <si>
    <t>目的 / 活動内容 / モニタリング設計 / 可視化 / 出力例 / 課題</t>
    <phoneticPr fontId="3"/>
  </si>
  <si>
    <t>CJUG SDTM データレビューチーム報告.pdf</t>
    <phoneticPr fontId="3"/>
  </si>
  <si>
    <t>040_2018_データレビューチーム報告</t>
    <phoneticPr fontId="3"/>
  </si>
  <si>
    <t>・中央モニタリング（RBM）
・データレビュー
・安全性評価
・試験進捗可視化
・BIダッシュボード構築</t>
    <phoneticPr fontId="3"/>
  </si>
  <si>
    <t>SDTM（AE / DS / LB中心）</t>
    <phoneticPr fontId="3"/>
  </si>
  <si>
    <t>AIチーム発表201807.pdf</t>
    <phoneticPr fontId="3"/>
  </si>
  <si>
    <t>041_2018_AIチーム報告</t>
    <phoneticPr fontId="3"/>
  </si>
  <si>
    <t>活動概要 / AIテーマ一覧 / 機械学習実験 / AutoEncoder / 画像認識 / NLP / RNN / チャットボット</t>
    <phoneticPr fontId="3"/>
  </si>
  <si>
    <t>・AI活用検討
・データレビュー自動化
・異常検知
・テキスト解析
・業務効率化（チャットボット等）</t>
    <phoneticPr fontId="3"/>
  </si>
  <si>
    <t>横断（SDTM全体 + 非構造データ）</t>
    <phoneticPr fontId="3"/>
  </si>
  <si>
    <t>TDM-PGM_Activity Report_2018.pdf</t>
    <phoneticPr fontId="3"/>
  </si>
  <si>
    <t>042_2019_Trial Design Datasets 試験終了時の整備</t>
    <phoneticPr fontId="3"/>
  </si>
  <si>
    <t>活動背景 / TD修正内容 / TS修正 / TI修正 / TA修正 / EPOCH問題 / Validation / NDF-RT / 成果物 / 総括</t>
    <phoneticPr fontId="3"/>
  </si>
  <si>
    <r>
      <t xml:space="preserve">【概要】
試験進行後にTrial Design Dataset（TS/TI/TA）を修正した実践事例であり、プロトコルとの整合、EPOCH設計、Validation限界、用語管理（NDF-RT）といったTrial Designの運用課題と対策を整理した報告。
【実務課題】
① 試験中にTrial Design（TD）が変更される
② プロトコルとTDが不整合
③ EPOCH定義が揺れる
④ ドメイン間で整合性が取れない
⑤ Validationでは検出されない不整合がある
【原因・背景】
① Trial Designは「後から確定する」
TS：開始時不明 → 後で確定
TI：選択除外基準変更
TA：試験設計見直し
② プロトコル改訂の影響
Inclusion/Exclusion変更
Study Flow変更
【解決アプローチ／示唆】
① TS（Trial Summary）の本質
試験後確定情報を格納
例：Start/End Date
データカットオフ
実被験者数
② TI（Trial Inclusion/Exclusion）の注意点
Protocol version管理必須
Ver間差異を反映
③ TA（Trial Arms）とEPOCH問題
TAと他ドメインのEPOCH不整合やP21エラー発生
</t>
    </r>
    <r>
      <rPr>
        <sz val="6"/>
        <color theme="1"/>
        <rFont val="Segoe UI Symbol"/>
        <family val="3"/>
      </rPr>
      <t>👉</t>
    </r>
    <r>
      <rPr>
        <sz val="6"/>
        <color theme="1"/>
        <rFont val="ＭＳ ゴシック"/>
        <family val="3"/>
        <charset val="128"/>
      </rPr>
      <t xml:space="preserve"> 正しさ vs Validation→ 実務ではValidationが優先されうる
④ Validationの限界（超重要）
例：ドメインごとにEPOCH不一致→ P21で未検出の場合あり
</t>
    </r>
    <r>
      <rPr>
        <sz val="6"/>
        <color theme="1"/>
        <rFont val="Segoe UI Symbol"/>
        <family val="3"/>
      </rPr>
      <t>👉</t>
    </r>
    <r>
      <rPr>
        <sz val="6"/>
        <color theme="1"/>
        <rFont val="ＭＳ ゴシック"/>
        <family val="3"/>
        <charset val="128"/>
      </rPr>
      <t xml:space="preserve"> P21は完全ではない
⑤ 混在問題（リアル）
XXドメイン：3 EPOCH
その他：5 EPOCH
</t>
    </r>
    <r>
      <rPr>
        <sz val="6"/>
        <color theme="1"/>
        <rFont val="Segoe UI Symbol"/>
        <family val="3"/>
      </rPr>
      <t>👉</t>
    </r>
    <r>
      <rPr>
        <sz val="6"/>
        <color theme="1"/>
        <rFont val="ＭＳ ゴシック"/>
        <family val="3"/>
        <charset val="128"/>
      </rPr>
      <t xml:space="preserve"> 混在してもValidationでは検出されない
</t>
    </r>
    <r>
      <rPr>
        <sz val="6"/>
        <color theme="1"/>
        <rFont val="Segoe UI Symbol"/>
        <family val="3"/>
      </rPr>
      <t>👉</t>
    </r>
    <r>
      <rPr>
        <sz val="6"/>
        <color theme="1"/>
        <rFont val="ＭＳ ゴシック"/>
        <family val="3"/>
        <charset val="128"/>
      </rPr>
      <t xml:space="preserve"> “正しい ≠ P21でOK”
⑥ NDF-RT問題
データソース複数
フォーマット不一致
公式加工方法なし
</t>
    </r>
    <r>
      <rPr>
        <sz val="6"/>
        <color theme="1"/>
        <rFont val="Segoe UI Symbol"/>
        <family val="3"/>
      </rPr>
      <t>👉</t>
    </r>
    <r>
      <rPr>
        <sz val="6"/>
        <color theme="1"/>
        <rFont val="ＭＳ ゴシック"/>
        <family val="3"/>
        <charset val="128"/>
      </rPr>
      <t xml:space="preserve"> 選択肢
P21付属版使用
自己加工
Enterprise版
</t>
    </r>
    <r>
      <rPr>
        <sz val="6"/>
        <color theme="1"/>
        <rFont val="Segoe UI Symbol"/>
        <family val="3"/>
      </rPr>
      <t>👉</t>
    </r>
    <r>
      <rPr>
        <sz val="6"/>
        <color theme="1"/>
        <rFont val="ＭＳ ゴシック"/>
        <family val="3"/>
        <charset val="128"/>
      </rPr>
      <t xml:space="preserve"> CTはツール依存リスクあり
⑦ プログラム設計の教訓
Excel変更 → 反映されない
Length制限
</t>
    </r>
    <r>
      <rPr>
        <sz val="6"/>
        <color theme="1"/>
        <rFont val="Segoe UI Symbol"/>
        <family val="3"/>
      </rPr>
      <t>👉</t>
    </r>
    <r>
      <rPr>
        <sz val="6"/>
        <color theme="1"/>
        <rFont val="ＭＳ ゴシック"/>
        <family val="3"/>
        <charset val="128"/>
      </rPr>
      <t xml:space="preserve"> 変更に強い設計が必要
⑧ 最重要総括
✔ TDはプロトコルと完全一致すべき
✔ プロトコル確定までTD更新必要
✔ 途中変更対応体制が必要
✔ Validationでは品質保証できない</t>
    </r>
    <phoneticPr fontId="3"/>
  </si>
  <si>
    <t>・Trial Design設計（TS/TI/TA）
・プロトコル連携
・EPOCH設計
・Validation補完
・SDTM品質向上</t>
    <phoneticPr fontId="3"/>
  </si>
  <si>
    <t>Trial Design Domain
TS
TI
TA
TE / TV</t>
    <phoneticPr fontId="3"/>
  </si>
  <si>
    <t>CJUG_SDTM_Validation_team_活動報告_20190412.pdf</t>
    <phoneticPr fontId="3"/>
  </si>
  <si>
    <t>043_2019_CJUG SDTM Pinnacle 21 validation team活動報告</t>
    <phoneticPr fontId="3"/>
  </si>
  <si>
    <t>活動概要 / Validation実施 / エラー分析 / 修正管理 / Issue Summary / トラブル事例 / 総括</t>
    <phoneticPr fontId="3"/>
  </si>
  <si>
    <t>SDTM全体</t>
    <phoneticPr fontId="3"/>
  </si>
  <si>
    <t>・P21 Validation運用
・エラー対応戦略
・Issue Summary作成
・品質管理
・Submission準備</t>
    <phoneticPr fontId="3"/>
  </si>
  <si>
    <r>
      <t>【概要】
模擬試験データに対してPinnacle21によるValidationを実施し、Reject/Errorの原因分析・修正・SDRG用Issue Summary作成までの一連のプロセスを実践的に整理した活動報告。
【実務課題】
① Validationエラーの原因が分かりにくい
② 修正すると新たなエラーが発生する
③ EDC / Mapping / Codingの責任分担が不明確
④ Issue Summaryの書き方が統一されていない
⑤ データ・仕様・プログラムの整合性が崩れる
【原因・背景】
① Validationは複数レイヤの問題
エラー発生源</t>
    </r>
    <r>
      <rPr>
        <sz val="6"/>
        <color theme="1"/>
        <rFont val="Segoe UI Symbol"/>
        <family val="3"/>
      </rPr>
      <t>👇</t>
    </r>
    <r>
      <rPr>
        <sz val="6"/>
        <color theme="1"/>
        <rFont val="ＭＳ ゴシック"/>
        <family val="3"/>
        <charset val="128"/>
      </rPr>
      <t xml:space="preserve">
EDC（入力データ）
Mapping仕様
Mappingプログラム
Coding（MedDRA等）
</t>
    </r>
    <r>
      <rPr>
        <sz val="6"/>
        <color theme="1"/>
        <rFont val="Segoe UI Symbol"/>
        <family val="3"/>
      </rPr>
      <t>👉</t>
    </r>
    <r>
      <rPr>
        <sz val="6"/>
        <color theme="1"/>
        <rFont val="ＭＳ ゴシック"/>
        <family val="3"/>
        <charset val="128"/>
      </rPr>
      <t xml:space="preserve"> Validationエラーは“SDTMの問題ではない”ことが多い
【解決アプローチ／示唆】
① Validationの基本戦略（最重要）
Reject / Error の解消に集中
Warningは今回対象外
</t>
    </r>
    <r>
      <rPr>
        <sz val="6"/>
        <color theme="1"/>
        <rFont val="Segoe UI Symbol"/>
        <family val="3"/>
      </rPr>
      <t>👉</t>
    </r>
    <r>
      <rPr>
        <sz val="6"/>
        <color theme="1"/>
        <rFont val="ＭＳ ゴシック"/>
        <family val="3"/>
        <charset val="128"/>
      </rPr>
      <t xml:space="preserve"> 優先度：Reject &gt; Error &gt; Warning
② エラー削減の実証結果
Reject：7 → 0
Error：79 → 14
</t>
    </r>
    <r>
      <rPr>
        <sz val="6"/>
        <color theme="1"/>
        <rFont val="Segoe UI Symbol"/>
        <family val="3"/>
      </rPr>
      <t>👉</t>
    </r>
    <r>
      <rPr>
        <sz val="6"/>
        <color theme="1"/>
        <rFont val="ＭＳ ゴシック"/>
        <family val="3"/>
        <charset val="128"/>
      </rPr>
      <t xml:space="preserve"> 体系的に直せば確実に減る
③ エラー原因の分類（超重要）
実例</t>
    </r>
    <r>
      <rPr>
        <sz val="6"/>
        <color theme="1"/>
        <rFont val="Segoe UI Symbol"/>
        <family val="3"/>
      </rPr>
      <t>👇</t>
    </r>
    <r>
      <rPr>
        <sz val="6"/>
        <color theme="1"/>
        <rFont val="ＭＳ ゴシック"/>
        <family val="3"/>
        <charset val="128"/>
      </rPr>
      <t xml:space="preserve">
1. EDCデータ起因
Required変数がNull
不整合入力
2. Mappingプログラム起因
ISO8601変換ミス
日付逆転
3. Mapping仕様起因
年齢算出ロジック不足
4. Coding起因
MedDRA PTにLLT格納
</t>
    </r>
    <r>
      <rPr>
        <sz val="6"/>
        <color theme="1"/>
        <rFont val="Segoe UI Symbol"/>
        <family val="3"/>
      </rPr>
      <t>👉</t>
    </r>
    <r>
      <rPr>
        <sz val="6"/>
        <color theme="1"/>
        <rFont val="ＭＳ ゴシック"/>
        <family val="3"/>
        <charset val="128"/>
      </rPr>
      <t xml:space="preserve"> 全体：Validationエラー＝原因特定が最重要
④ 典型エラー例（実務で頻出）
✔ AEDECOD（MedDRA不一致）
✔ RFXENDTC（日付フォーマット）
✔ SESTDTC &gt; SEENDTC
✔ AGE未設定
⑤ エラー修正の落とし穴（超重要）
“修正 → 新エラー発生”で収拾不能状態
</t>
    </r>
    <r>
      <rPr>
        <sz val="6"/>
        <color theme="1"/>
        <rFont val="Segoe UI Symbol"/>
        <family val="3"/>
      </rPr>
      <t>👉</t>
    </r>
    <r>
      <rPr>
        <sz val="6"/>
        <color theme="1"/>
        <rFont val="ＭＳ ゴシック"/>
        <family val="3"/>
        <charset val="128"/>
      </rPr>
      <t xml:space="preserve"> 原因
ドメインごとに別プログラム
共通変数（USUBJID）不統一
</t>
    </r>
    <r>
      <rPr>
        <sz val="6"/>
        <color theme="1"/>
        <rFont val="Segoe UI Symbol"/>
        <family val="3"/>
      </rPr>
      <t>👉</t>
    </r>
    <r>
      <rPr>
        <sz val="6"/>
        <color theme="1"/>
        <rFont val="ＭＳ ゴシック"/>
        <family val="3"/>
        <charset val="128"/>
      </rPr>
      <t xml:space="preserve"> Point：“局所修正”は危険
⑥ 運用トラブル（リアル）
✔ 古いrawデータ使用
✔ 古いプログラム修正
✔ 仕様書未更新
✔ 保管場所不明 [CJUG_SDTM_...告_20190412 | PDF]
</t>
    </r>
    <r>
      <rPr>
        <sz val="6"/>
        <color theme="1"/>
        <rFont val="Segoe UI Symbol"/>
        <family val="3"/>
      </rPr>
      <t>👉</t>
    </r>
    <r>
      <rPr>
        <sz val="6"/>
        <color theme="1"/>
        <rFont val="ＭＳ ゴシック"/>
        <family val="3"/>
        <charset val="128"/>
      </rPr>
      <t xml:space="preserve"> Validationはデータ管理問題でもある
⑦ Issue Summary（SDRG）の本質
✔ Errorのみか？Warningも？→ 組織判断
✔ 記載内容
データ内容
影響なしの理由
修正不能理由
</t>
    </r>
    <r>
      <rPr>
        <sz val="6"/>
        <color theme="1"/>
        <rFont val="Segoe UI Symbol"/>
        <family val="3"/>
      </rPr>
      <t>👉</t>
    </r>
    <r>
      <rPr>
        <sz val="6"/>
        <color theme="1"/>
        <rFont val="ＭＳ ゴシック"/>
        <family val="3"/>
        <charset val="128"/>
      </rPr>
      <t xml:space="preserve"> 理想：「なぜ問題ないか」を説明
⑧ 重要な設計方針
✔ DB Lock前にValidation実施
✔ Rawデータ品質重視
✔ Version管理徹底
⑨ 追加重要知見
Hard codingは避ける
Mapping担当がValidationまで担当が望ましい
データは将来の担当者まで考慮</t>
    </r>
    <phoneticPr fontId="3"/>
  </si>
  <si>
    <t>AE
CM
MH</t>
    <phoneticPr fontId="3"/>
  </si>
  <si>
    <t>・AE Coding
・CM Coding（ATC）
・MH Coding
・Validation対策
・安全性解析</t>
    <phoneticPr fontId="3"/>
  </si>
  <si>
    <r>
      <t xml:space="preserve">【概要】
AE・併用薬・既往歴について、MedDRAおよびATCに基づくコーディング結果を一覧化した資料であり、SDTMにおけるCoding（標準用語マッピング）の実装実例を示す。 
【実務課題】
① AE用語が統一されていない（free text）
② MedDRA階層が正しく使われない
③ CMの薬剤分類が曖昧
④ コーディングミスがValidationエラーになる
⑤ Review時にSOC/HLGTレベルで分析できない
【原因・背景】
① 元データは自由記述（verbatim）
② MedDRAは多段階構造で理解が難しい
③ コーディング担当・ルールが不統一
④ ATC分類の理解不足
【解決アプローチ／示唆】
① MedDRA構造（超重要）
AETERM：fever→ AEDECOD：Pyrexia
LLT / PT / HLT / HLGT / SOC
</t>
    </r>
    <r>
      <rPr>
        <sz val="6"/>
        <color theme="1"/>
        <rFont val="Segoe UI Symbol"/>
        <family val="3"/>
      </rPr>
      <t>👉</t>
    </r>
    <r>
      <rPr>
        <sz val="6"/>
        <color theme="1"/>
        <rFont val="ＭＳ ゴシック"/>
        <family val="3"/>
        <charset val="128"/>
      </rPr>
      <t xml:space="preserve"> Point：Verbatim → LLT → PT → HLT → HLGT → SOC
② Verbatimと標準用語の関係
例：“Common cold”→ “Nasopharyngitis”
</t>
    </r>
    <r>
      <rPr>
        <sz val="6"/>
        <color theme="1"/>
        <rFont val="Segoe UI Symbol"/>
        <family val="3"/>
      </rPr>
      <t>👉</t>
    </r>
    <r>
      <rPr>
        <sz val="6"/>
        <color theme="1"/>
        <rFont val="ＭＳ ゴシック"/>
        <family val="3"/>
        <charset val="128"/>
      </rPr>
      <t xml:space="preserve"> 本質：入力 ≠ 解析用語
③ Codingの品質が分析を決める
例：AEDECODミス→ MedDRAエラー（043_SDRGで出ていた例）
</t>
    </r>
    <r>
      <rPr>
        <sz val="6"/>
        <color theme="1"/>
        <rFont val="Segoe UI Symbol"/>
        <family val="3"/>
      </rPr>
      <t>👉</t>
    </r>
    <r>
      <rPr>
        <sz val="6"/>
        <color theme="1"/>
        <rFont val="ＭＳ ゴシック"/>
        <family val="3"/>
        <charset val="128"/>
      </rPr>
      <t xml:space="preserve"> Codingミス = Validationエラー + Review崩壊
④ CM（併用薬）Coding
薬剤名（ブランド）
一般名
ATC分類
</t>
    </r>
    <r>
      <rPr>
        <sz val="6"/>
        <color theme="1"/>
        <rFont val="Segoe UI Symbol"/>
        <family val="3"/>
      </rPr>
      <t>👉</t>
    </r>
    <r>
      <rPr>
        <sz val="6"/>
        <color theme="1"/>
        <rFont val="ＭＳ ゴシック"/>
        <family val="3"/>
        <charset val="128"/>
      </rPr>
      <t xml:space="preserve"> 例
LOXONIN → Loxoprofen
ATC：M01AE
</t>
    </r>
    <r>
      <rPr>
        <sz val="6"/>
        <color theme="1"/>
        <rFont val="Segoe UI Symbol"/>
        <family val="3"/>
      </rPr>
      <t>👉</t>
    </r>
    <r>
      <rPr>
        <sz val="6"/>
        <color theme="1"/>
        <rFont val="ＭＳ ゴシック"/>
        <family val="3"/>
        <charset val="128"/>
      </rPr>
      <t xml:space="preserve"> Point：薬剤は階層分類（ATC）で扱う
⑤ ATC構造
C10AA → HMG CoA reductase inhibitors
R06AX → 抗ヒスタミン
</t>
    </r>
    <r>
      <rPr>
        <sz val="6"/>
        <color theme="1"/>
        <rFont val="Segoe UI Symbol"/>
        <family val="3"/>
      </rPr>
      <t>👉</t>
    </r>
    <r>
      <rPr>
        <sz val="6"/>
        <color theme="1"/>
        <rFont val="ＭＳ ゴシック"/>
        <family val="3"/>
        <charset val="128"/>
      </rPr>
      <t xml:space="preserve"> 階層：ATC Level1〜5
⑥ MH（既往歴）Coding
Diabetes Mellitus type2
→ Type 2 diabetes mellitus
→ SOC：Metabolism disorders
⑦ 多言語対応
下痢 → Diarrhoea, 花粉症 → Pollinosis
</t>
    </r>
    <r>
      <rPr>
        <sz val="6"/>
        <color theme="1"/>
        <rFont val="Segoe UI Symbol"/>
        <family val="3"/>
      </rPr>
      <t>👉</t>
    </r>
    <r>
      <rPr>
        <sz val="6"/>
        <color theme="1"/>
        <rFont val="ＭＳ ゴシック"/>
        <family val="3"/>
        <charset val="128"/>
      </rPr>
      <t xml:space="preserve"> Point：グローバル提出には英文化必須
⑧ 重要な設計ポイント
✔ LLT→PT整合性
✔ SOC一貫性
✔ CM generic化
✔ ATC正確性</t>
    </r>
    <phoneticPr fontId="3"/>
  </si>
  <si>
    <t>Coding_List_V1.2.pdf</t>
    <phoneticPr fontId="3"/>
  </si>
  <si>
    <t>SDRG Issue summary記載案_20190122.pdf</t>
    <phoneticPr fontId="3"/>
  </si>
  <si>
    <r>
      <t xml:space="preserve">【概要】
Pinnacle21で検出されたValidationエラーについて、原因・修正可否・解析影響を整理し、SDRGに記載する「Issue Summary」の具体的な記載例を示した資料。
【実務課題】
① Validation Errorが残っている
② 修正できないケースがある
③ 規制当局に説明が必要
④ 記載内容・粒度が統一されない
【原因・背景】
① DB Lock後はRawデータ修正不可
② Site Close後はデータ修正不可
③ Validationエラー ≠ すべて修正対象
【解決アプローチ／示唆】
① Issue Summaryの基本構造（超重要）
Dataset
Diagnostic Message
Severity
Count
Explanation
</t>
    </r>
    <r>
      <rPr>
        <sz val="6"/>
        <color theme="1"/>
        <rFont val="Segoe UI Symbol"/>
        <family val="3"/>
      </rPr>
      <t>👉</t>
    </r>
    <r>
      <rPr>
        <sz val="6"/>
        <color theme="1"/>
        <rFont val="ＭＳ ゴシック"/>
        <family val="3"/>
        <charset val="128"/>
      </rPr>
      <t xml:space="preserve"> Point：エラー一覧 + 説明
② Explanationの核心（最重要）
説明に含めるべき内容</t>
    </r>
    <r>
      <rPr>
        <sz val="6"/>
        <color theme="1"/>
        <rFont val="Segoe UI Symbol"/>
        <family val="3"/>
      </rPr>
      <t>👇</t>
    </r>
    <r>
      <rPr>
        <sz val="6"/>
        <color theme="1"/>
        <rFont val="ＭＳ ゴシック"/>
        <family val="3"/>
        <charset val="128"/>
      </rPr>
      <t xml:space="preserve">
✓ 原因
✓ 修正不可理由
✓ 解析影響
✓ 許容判断
③ 実例①：RELREC（参照不整合）
Error：Invalid referenced record
原因：double byte文字、不正ID
</t>
    </r>
    <r>
      <rPr>
        <sz val="6"/>
        <color theme="1"/>
        <rFont val="Segoe UI Symbol"/>
        <family val="3"/>
      </rPr>
      <t>👉</t>
    </r>
    <r>
      <rPr>
        <sz val="6"/>
        <color theme="1"/>
        <rFont val="ＭＳ ゴシック"/>
        <family val="3"/>
        <charset val="128"/>
      </rPr>
      <t xml:space="preserve"> 対応
Rawデータ誤り
DB Lock済 → 修正不可
</t>
    </r>
    <r>
      <rPr>
        <sz val="6"/>
        <color theme="1"/>
        <rFont val="Segoe UI Symbol"/>
        <family val="3"/>
      </rPr>
      <t>👉</t>
    </r>
    <r>
      <rPr>
        <sz val="6"/>
        <color theme="1"/>
        <rFont val="ＭＳ ゴシック"/>
        <family val="3"/>
        <charset val="128"/>
      </rPr>
      <t xml:space="preserve"> 記載ポイント
修正不可 + 影響なし → Acceptable
④ 実例②：SE（日時逆転）
Error：SESTDTC &gt; SEENDTC
原因：プログラムミス。投与順序不整合
</t>
    </r>
    <r>
      <rPr>
        <sz val="6"/>
        <color theme="1"/>
        <rFont val="Segoe UI Symbol"/>
        <family val="3"/>
      </rPr>
      <t>👉</t>
    </r>
    <r>
      <rPr>
        <sz val="6"/>
        <color theme="1"/>
        <rFont val="ＭＳ ゴシック"/>
        <family val="3"/>
        <charset val="128"/>
      </rPr>
      <t xml:space="preserve"> Point：解析に影響あり得る
</t>
    </r>
    <r>
      <rPr>
        <sz val="6"/>
        <color theme="1"/>
        <rFont val="Segoe UI Symbol"/>
        <family val="3"/>
      </rPr>
      <t>👉</t>
    </r>
    <r>
      <rPr>
        <sz val="6"/>
        <color theme="1"/>
        <rFont val="ＭＳ ゴシック"/>
        <family val="3"/>
        <charset val="128"/>
      </rPr>
      <t xml:space="preserve"> Point2：本来は修正必要だが、理由があれば許容
⑤ 許容判断のロジック
判断基準</t>
    </r>
    <r>
      <rPr>
        <sz val="6"/>
        <color theme="1"/>
        <rFont val="Segoe UI Symbol"/>
        <family val="3"/>
      </rPr>
      <t>👇</t>
    </r>
    <r>
      <rPr>
        <sz val="6"/>
        <color theme="1"/>
        <rFont val="ＭＳ ゴシック"/>
        <family val="3"/>
        <charset val="128"/>
      </rPr>
      <t xml:space="preserve">
✓ 解析影響の有無
✓ 修正可能性
✓ 試験状況（Lock済など）
✓ 対応例
・修正可能 × 影響あり → 修正必須
・修正不可 × 影響なし → Acceptable
・修正不可 × 影響あり → 要説明
⑥ 最重要メッセージ
 Issue Summaryは「エラーの言い訳」ではなく、「科学的説明」</t>
    </r>
    <phoneticPr fontId="3"/>
  </si>
  <si>
    <t>044_2019_CJUG SDTM define.xml team活動報告</t>
    <phoneticPr fontId="3"/>
  </si>
  <si>
    <t>CJUG_ SDTM_define.xml_team_活動報告_20190510.pdf</t>
    <phoneticPr fontId="3"/>
  </si>
  <si>
    <t>・SDRG作成
・Validation対応
・規制対応（PMDA / FDA）
・Submission準備</t>
    <phoneticPr fontId="3"/>
  </si>
  <si>
    <t>SDRG（Supplemental Data Reviewer's Guide）</t>
    <phoneticPr fontId="3"/>
  </si>
  <si>
    <t>活動経緯 / 単体Validation / クロスValidation / define.xml課題 / TIPS / 結論</t>
    <phoneticPr fontId="3"/>
  </si>
  <si>
    <r>
      <t xml:space="preserve">【概要】
define.xml作成における実務課題（単体バリデーション、データセットとの不整合、コードリスト・単位の扱いなど）を整理し、SDTM提出時のメタデータ整合性の重要性を示した活動報告。
【実務課題】
① define.xmlとデータセットの不整合
② Y/Nullルールの誤解
③ コード値と表示値のズレ
④ 単位（Unit）の不一致
⑤ ツール制約による表示問題
【原因・背景】
① SDTMIGルールの理解不足
② MetadataとDataの責任分離
③ ツール依存（define.xml generator）
④ CT（Controlled Terminology）とのズレ
【解決アプローチ／示唆】
① define.xmlの本質（最重要）
</t>
    </r>
    <r>
      <rPr>
        <sz val="6"/>
        <color theme="1"/>
        <rFont val="Segoe UI Symbol"/>
        <family val="3"/>
      </rPr>
      <t>👉</t>
    </r>
    <r>
      <rPr>
        <sz val="6"/>
        <color theme="1"/>
        <rFont val="ＭＳ ゴシック"/>
        <family val="3"/>
        <charset val="128"/>
      </rPr>
      <t xml:space="preserve"> define.xmlとは「データの説明書」
</t>
    </r>
    <r>
      <rPr>
        <sz val="6"/>
        <color theme="1"/>
        <rFont val="Segoe UI Symbol"/>
        <family val="3"/>
      </rPr>
      <t>👉</t>
    </r>
    <r>
      <rPr>
        <sz val="6"/>
        <color theme="1"/>
        <rFont val="ＭＳ ゴシック"/>
        <family val="3"/>
        <charset val="128"/>
      </rPr>
      <t xml:space="preserve"> 役割：変数定義 / コードリスト / derivation説明
</t>
    </r>
    <r>
      <rPr>
        <sz val="6"/>
        <color theme="1"/>
        <rFont val="Segoe UI Symbol"/>
        <family val="3"/>
      </rPr>
      <t>👉</t>
    </r>
    <r>
      <rPr>
        <sz val="6"/>
        <color theme="1"/>
        <rFont val="ＭＳ ゴシック"/>
        <family val="3"/>
        <charset val="128"/>
      </rPr>
      <t xml:space="preserve"> Point：DataではなくMetadata
② 作成プロセス（重要）
流れ：各ドメイン分担作成 → 結合 → 単体Validation → DatasetとのクロスValidation
</t>
    </r>
    <r>
      <rPr>
        <sz val="6"/>
        <color theme="1"/>
        <rFont val="Segoe UI Symbol"/>
        <family val="3"/>
      </rPr>
      <t>👉</t>
    </r>
    <r>
      <rPr>
        <sz val="6"/>
        <color theme="1"/>
        <rFont val="ＭＳ ゴシック"/>
        <family val="3"/>
        <charset val="128"/>
      </rPr>
      <t xml:space="preserve"> point：最後に“整合確認”が必要
③ Y / Nullルール（超重要）
例：--BLFL, --PRESP
</t>
    </r>
    <r>
      <rPr>
        <sz val="6"/>
        <color theme="1"/>
        <rFont val="Segoe UI Symbol"/>
        <family val="3"/>
      </rPr>
      <t>👉</t>
    </r>
    <r>
      <rPr>
        <sz val="6"/>
        <color theme="1"/>
        <rFont val="ＭＳ ゴシック"/>
        <family val="3"/>
        <charset val="128"/>
      </rPr>
      <t xml:space="preserve"> Y or Null が正しい 
</t>
    </r>
    <r>
      <rPr>
        <sz val="6"/>
        <color theme="1"/>
        <rFont val="Segoe UI Symbol"/>
        <family val="3"/>
      </rPr>
      <t>👉</t>
    </r>
    <r>
      <rPr>
        <sz val="6"/>
        <color theme="1"/>
        <rFont val="ＭＳ ゴシック"/>
        <family val="3"/>
        <charset val="128"/>
      </rPr>
      <t xml:space="preserve"> 典型ミス：</t>
    </r>
    <r>
      <rPr>
        <sz val="6"/>
        <color theme="1"/>
        <rFont val="Segoe UI Symbol"/>
        <family val="3"/>
      </rPr>
      <t>❌</t>
    </r>
    <r>
      <rPr>
        <sz val="6"/>
        <color theme="1"/>
        <rFont val="ＭＳ ゴシック"/>
        <family val="3"/>
        <charset val="128"/>
      </rPr>
      <t xml:space="preserve"> Y/N両方定義 → Validationエラー
</t>
    </r>
    <r>
      <rPr>
        <sz val="6"/>
        <color theme="1"/>
        <rFont val="Segoe UI Symbol"/>
        <family val="3"/>
      </rPr>
      <t>👉</t>
    </r>
    <r>
      <rPr>
        <sz val="6"/>
        <color theme="1"/>
        <rFont val="ＭＳ ゴシック"/>
        <family val="3"/>
        <charset val="128"/>
      </rPr>
      <t xml:space="preserve"> Point：「意味がない値は置かない」
④ CRFとの整合性問題
例：dataset：Y / null, define：Y/N
</t>
    </r>
    <r>
      <rPr>
        <sz val="6"/>
        <color theme="1"/>
        <rFont val="Segoe UI Symbol"/>
        <family val="3"/>
      </rPr>
      <t>👉</t>
    </r>
    <r>
      <rPr>
        <sz val="6"/>
        <color theme="1"/>
        <rFont val="ＭＳ ゴシック"/>
        <family val="3"/>
        <charset val="128"/>
      </rPr>
      <t xml:space="preserve"> 不整合
</t>
    </r>
    <r>
      <rPr>
        <sz val="6"/>
        <color theme="1"/>
        <rFont val="Segoe UI Symbol"/>
        <family val="3"/>
      </rPr>
      <t>👉</t>
    </r>
    <r>
      <rPr>
        <sz val="6"/>
        <color theme="1"/>
        <rFont val="ＭＳ ゴシック"/>
        <family val="3"/>
        <charset val="128"/>
      </rPr>
      <t xml:space="preserve"> Point：CRF / Dataset / define.xmlは一致すべき
⑤ クロスValidation問題（超重要）
例：EXDOSFRQ値異常, SUPRESPが全部Y, Unit不一致
</t>
    </r>
    <r>
      <rPr>
        <sz val="6"/>
        <color theme="1"/>
        <rFont val="Segoe UI Symbol"/>
        <family val="3"/>
      </rPr>
      <t>👉</t>
    </r>
    <r>
      <rPr>
        <sz val="6"/>
        <color theme="1"/>
        <rFont val="ＭＳ ゴシック"/>
        <family val="3"/>
        <charset val="128"/>
      </rPr>
      <t xml:space="preserve">  Point：define.xml単体では検出できない → “データとの突合”が必要
⑥ CT（用語）との不一致
例CT：beats/min ⇔ dataset：BEATS/MIN
</t>
    </r>
    <r>
      <rPr>
        <sz val="6"/>
        <color theme="1"/>
        <rFont val="Segoe UI Symbol"/>
        <family val="3"/>
      </rPr>
      <t>👉</t>
    </r>
    <r>
      <rPr>
        <sz val="6"/>
        <color theme="1"/>
        <rFont val="ＭＳ ゴシック"/>
        <family val="3"/>
        <charset val="128"/>
      </rPr>
      <t xml:space="preserve"> Validationエラーとなるため、大文字小文字も含め完全一致が必要
⑦ P21では検出されない問題
例：SUPRESPが全部Y
</t>
    </r>
    <r>
      <rPr>
        <sz val="6"/>
        <color theme="1"/>
        <rFont val="Segoe UI Symbol"/>
        <family val="3"/>
      </rPr>
      <t>👉</t>
    </r>
    <r>
      <rPr>
        <sz val="6"/>
        <color theme="1"/>
        <rFont val="ＭＳ ゴシック"/>
        <family val="3"/>
        <charset val="128"/>
      </rPr>
      <t xml:space="preserve"> 意味的におかしいがエラーなし
</t>
    </r>
    <r>
      <rPr>
        <sz val="6"/>
        <color theme="1"/>
        <rFont val="Segoe UI Symbol"/>
        <family val="3"/>
      </rPr>
      <t>👉</t>
    </r>
    <r>
      <rPr>
        <sz val="6"/>
        <color theme="1"/>
        <rFont val="ＭＳ ゴシック"/>
        <family val="3"/>
        <charset val="128"/>
      </rPr>
      <t xml:space="preserve"> Point：Validation ≠ 正しさ（再確認）
⑧ コードリスト設計（重要）
例：DS.DSCATでCodelist分岐
</t>
    </r>
    <r>
      <rPr>
        <sz val="6"/>
        <color theme="1"/>
        <rFont val="Segoe UI Symbol"/>
        <family val="3"/>
      </rPr>
      <t>👉</t>
    </r>
    <r>
      <rPr>
        <sz val="6"/>
        <color theme="1"/>
        <rFont val="ＭＳ ゴシック"/>
        <family val="3"/>
        <charset val="128"/>
      </rPr>
      <t xml:space="preserve"> Point：Value-level metadata設計が重要
⑨ ツール制約問題
例：Extended Value表示不可, Alias出力問題
</t>
    </r>
    <r>
      <rPr>
        <sz val="6"/>
        <color theme="1"/>
        <rFont val="Segoe UI Symbol"/>
        <family val="3"/>
      </rPr>
      <t>👉</t>
    </r>
    <r>
      <rPr>
        <sz val="6"/>
        <color theme="1"/>
        <rFont val="ＭＳ ゴシック"/>
        <family val="3"/>
        <charset val="128"/>
      </rPr>
      <t xml:space="preserve"> Point：define.xmlはツール依存となりうる
⑩ 最終メッセージ
✔ SDTMIG理解必須
✔ XML理解必要
✔ 実際に作ることで理解が深まる</t>
    </r>
    <phoneticPr fontId="3"/>
  </si>
  <si>
    <t>・define.xml作成
・Metadata設計
・Submission対応
・Validation補完
・QC</t>
    <phoneticPr fontId="3"/>
  </si>
  <si>
    <t>define.xml
（SDTM全体のメタデータ）</t>
    <phoneticPr fontId="3"/>
  </si>
  <si>
    <t>045_2019_Activity Report on Sub Team (Study Data Reviewer’s Guide)</t>
    <phoneticPr fontId="3"/>
  </si>
  <si>
    <t>SDRG（Study Data Reviewer’s Guide）</t>
    <phoneticPr fontId="3"/>
  </si>
  <si>
    <t>・SDRG作成
・Submission説明
・Reviewer対応
・データ利用ガイド</t>
    <phoneticPr fontId="3"/>
  </si>
  <si>
    <r>
      <t xml:space="preserve">【概要】
模擬試験（PV0363）のSDRG（Study Data Reviewer’s Guide）を作成し、その構成・記載方針・実務上の検討ポイントを整理した活動報告。
【実務課題】
① SDRGに何を書くべきか明確でない
② define.xmlとの役割分担が曖昧
③ プロトコル変更の扱い
④ 日本語データの説明方法
⑤ ドメイン分類（Efficacy/Safety）の判断
【原因・背景】
① SDRGはテンプレートがあるが記載自由度が高い
② 試験ごとの差異が大きい
③ データ作成実態と完全一致させる必要がある
【解決アプローチ／示唆】
① SDRGの目的（最重要）
</t>
    </r>
    <r>
      <rPr>
        <sz val="8"/>
        <color theme="1"/>
        <rFont val="Segoe UI Symbol"/>
        <family val="3"/>
      </rPr>
      <t>👉</t>
    </r>
    <r>
      <rPr>
        <sz val="8"/>
        <color theme="1"/>
        <rFont val="ＭＳ ゴシック"/>
        <family val="3"/>
        <charset val="128"/>
      </rPr>
      <t xml:space="preserve"> SDRGとは「データの使い方を説明する文書」
</t>
    </r>
    <r>
      <rPr>
        <sz val="8"/>
        <color theme="1"/>
        <rFont val="Segoe UI Symbol"/>
        <family val="3"/>
      </rPr>
      <t>👉</t>
    </r>
    <r>
      <rPr>
        <sz val="8"/>
        <color theme="1"/>
        <rFont val="ＭＳ ゴシック"/>
        <family val="3"/>
        <charset val="128"/>
      </rPr>
      <t xml:space="preserve"> define.xmlとの違い
define.xml：技術仕様⇔SDRG：実務説明
② 作成プロセス
各章ごとに担当分担 → 複数回レビュー → 統合作成
③ -1:Section 1：データ標準情報
SDTM version
CT version
Encoding（例：Shift-JIS）
</t>
    </r>
    <r>
      <rPr>
        <sz val="8"/>
        <color theme="1"/>
        <rFont val="Segoe UI Symbol"/>
        <family val="3"/>
      </rPr>
      <t>👉</t>
    </r>
    <r>
      <rPr>
        <sz val="8"/>
        <color theme="1"/>
        <rFont val="ＭＳ ゴシック"/>
        <family val="3"/>
        <charset val="128"/>
      </rPr>
      <t xml:space="preserve"> Point：文字コードまで説明対象
③ -2:Section 2：Protocol説明
図 or 文章 or 両方 → “理解しやすさ優先”でケースバイケース
③ -3:Section 3：SDTMドメイン説明（超重要）
例：AE / CM / QS
分類：Efficacy / Safety / Other
④ 日本語データ対応（重要）
例： 日本語コーディングデータをSUPPAEに持つ場合は説明？
</t>
    </r>
    <r>
      <rPr>
        <sz val="8"/>
        <color theme="1"/>
        <rFont val="Segoe UI Symbol"/>
        <family val="3"/>
      </rPr>
      <t>👉</t>
    </r>
    <r>
      <rPr>
        <sz val="8"/>
        <color theme="1"/>
        <rFont val="ＭＳ ゴシック"/>
        <family val="3"/>
        <charset val="128"/>
      </rPr>
      <t xml:space="preserve"> ローカル対応は説明？
⑦ Appendix：Inclusion/Exclusion
</t>
    </r>
    <r>
      <rPr>
        <sz val="8"/>
        <color theme="1"/>
        <rFont val="Segoe UI Symbol"/>
        <family val="3"/>
      </rPr>
      <t>👉</t>
    </r>
    <r>
      <rPr>
        <sz val="8"/>
        <color theme="1"/>
        <rFont val="ＭＳ ゴシック"/>
        <family val="3"/>
        <charset val="128"/>
      </rPr>
      <t xml:space="preserve"> 全Version記載
</t>
    </r>
    <r>
      <rPr>
        <sz val="8"/>
        <color theme="1"/>
        <rFont val="Segoe UI Symbol"/>
        <family val="3"/>
      </rPr>
      <t>👉</t>
    </r>
    <r>
      <rPr>
        <sz val="8"/>
        <color theme="1"/>
        <rFont val="ＭＳ ゴシック"/>
        <family val="3"/>
        <charset val="128"/>
      </rPr>
      <t xml:space="preserve"> Point：変更履歴含めて完全開示
⑧ 重要な判断ポイントまとめ
✔ どこまで書くかはケースバイケース
✔ データ実態に合わせる
✔ Reviewerが理解できるかが基準</t>
    </r>
    <phoneticPr fontId="3"/>
  </si>
  <si>
    <t>活動概要 / SDRG構成 / 各章の記載方針 / ドメイン説明 / Appendix（IE） / 実務判断</t>
    <phoneticPr fontId="3"/>
  </si>
  <si>
    <t>Activity Report on Study Data Reviewer’s Guide_Fix.pdf</t>
    <phoneticPr fontId="3"/>
  </si>
  <si>
    <t>study-data-reviewers-guide.pdf</t>
    <phoneticPr fontId="3"/>
  </si>
  <si>
    <t>Introduction / Study Standards / Protocol / Trial Design / Subject Data / Domain説明 / Conformance / Issue Summary / Appendix</t>
    <phoneticPr fontId="3"/>
  </si>
  <si>
    <t>模擬試験（PV0363）で検討・作成されたSDRG。define.xmlでは説明できない背景情報や補足説明を提供する。</t>
    <rPh sb="13" eb="15">
      <t>ケントウ</t>
    </rPh>
    <rPh sb="16" eb="18">
      <t>サクセイ</t>
    </rPh>
    <phoneticPr fontId="3"/>
  </si>
  <si>
    <t>PV0363_まとめ_20190531.pdf</t>
    <phoneticPr fontId="3"/>
  </si>
  <si>
    <t>046_2019_アヒルさんチーム模擬試験</t>
    <phoneticPr fontId="3"/>
  </si>
  <si>
    <t>概要 / 目的 / 試験デザイン / 成果物 / タスクフロー / 問題点 / 改善提案</t>
    <phoneticPr fontId="3"/>
  </si>
  <si>
    <t>・SDTM Submission
・規制当局レビュー対応
・データ理解補助
・Validation補足</t>
    <phoneticPr fontId="3"/>
  </si>
  <si>
    <t>047_2019_承認申請を目的とした中間解析時のSDTMデータセットに関する検討</t>
    <phoneticPr fontId="3"/>
  </si>
  <si>
    <t>承認申請を目的とした中間解析時のSDTMデータセットに関する検討.pdf</t>
    <phoneticPr fontId="3"/>
  </si>
  <si>
    <t>前提 / 規制要件 / 方針設計 / データカット / SDTM課題 / クラス別対応 / Validation / 最終対応</t>
    <phoneticPr fontId="3"/>
  </si>
  <si>
    <t>Key Word</t>
    <phoneticPr fontId="3"/>
  </si>
  <si>
    <t>【概要】
模擬試験PV0363におけるSDTM作成活動を総括し、データ作成から提出資料（SDRG、define.xml等）までの全工程で発生した課題と改善点を整理した資料。
【目的】
国際共同治験を想定したSDTM作成
Pinnacle21によるValidation実施
MedDRA / WHODrugによる実コーディング
【成果】
✔ SDTM v1.4 / IG3.2によるデータ作成
✔ SDRG含め全資料英語化
✔ 日本語データ（SDTM_J）対応
✔ Validation
　・Reject解消
　・Error（Raw起因以外）解消
　・Warning未対応</t>
    <phoneticPr fontId="3"/>
  </si>
  <si>
    <t>・中間解析SDTM設計
・規制対応（PMDA）
・Validation対策
・SDRG記載</t>
    <phoneticPr fontId="3"/>
  </si>
  <si>
    <t>SDTM（応用・非定常ケース）</t>
    <phoneticPr fontId="3"/>
  </si>
  <si>
    <t>LDCチーム活動報告.pdf</t>
    <phoneticPr fontId="3"/>
  </si>
  <si>
    <t>目的 / LDC課題 / 進め方 / CT・SI問題 / Mapping問題 / Tips</t>
    <phoneticPr fontId="3"/>
  </si>
  <si>
    <t>048_2020_レガシーデータコンバージョンチーム活動報告</t>
    <phoneticPr fontId="3"/>
  </si>
  <si>
    <t>SDTM前工程（LDC）</t>
    <phoneticPr fontId="3"/>
  </si>
  <si>
    <t>・Legacy Data Conversion
・SDTM移行
・PMDA提出準備
・トラブル対応</t>
    <phoneticPr fontId="3"/>
  </si>
  <si>
    <t>049_2020_Introduction of PMDA eSubmission Form A and Form B</t>
    <phoneticPr fontId="3"/>
  </si>
  <si>
    <t>Introduction_of_PMDA_eSubmission_Form-A_and_B_v20200713.pdf</t>
    <phoneticPr fontId="3"/>
  </si>
  <si>
    <t>目的 / eSubmission背景 / Form A/B / SDSPとの差 / PMDA相談 / Tips / Template</t>
    <phoneticPr fontId="3"/>
  </si>
  <si>
    <t>・PMDA電子申請
・Submission準備
・規制相談
・SDTM説明</t>
    <phoneticPr fontId="3"/>
  </si>
  <si>
    <t>Regulatory / Submission</t>
    <phoneticPr fontId="3"/>
  </si>
  <si>
    <r>
      <t xml:space="preserve">【概要】
PMDAに電子データ（SDTM/ADaM）を提出する際に必要となるForm AおよびForm Bの役割・記載内容・提出プロセスを解説した資料。
【背景（超重要）】
</t>
    </r>
    <r>
      <rPr>
        <sz val="6"/>
        <color theme="1"/>
        <rFont val="Segoe UI Symbol"/>
        <family val="3"/>
      </rPr>
      <t>👉</t>
    </r>
    <r>
      <rPr>
        <sz val="6"/>
        <color theme="1"/>
        <rFont val="ＭＳ ゴシック"/>
        <family val="3"/>
        <charset val="128"/>
      </rPr>
      <t xml:space="preserve"> 日本では
電子データ提出が義務化
CDISC準拠必須（2020年以降）
① Form A / Form Bとは（核心）
✔ Form A
</t>
    </r>
    <r>
      <rPr>
        <sz val="6"/>
        <color theme="1"/>
        <rFont val="Segoe UI Symbol"/>
        <family val="3"/>
      </rPr>
      <t>👉</t>
    </r>
    <r>
      <rPr>
        <sz val="6"/>
        <color theme="1"/>
        <rFont val="ＭＳ ゴシック"/>
        <family val="3"/>
        <charset val="128"/>
      </rPr>
      <t xml:space="preserve"> Point：CDISCデータ（SDTM/ADaM）の説明書
✔ Form B
</t>
    </r>
    <r>
      <rPr>
        <sz val="6"/>
        <color theme="1"/>
        <rFont val="Segoe UI Symbol"/>
        <family val="3"/>
      </rPr>
      <t>👉</t>
    </r>
    <r>
      <rPr>
        <sz val="6"/>
        <color theme="1"/>
        <rFont val="ＭＳ ゴシック"/>
        <family val="3"/>
        <charset val="128"/>
      </rPr>
      <t xml:space="preserve"> Point：非CDISC（Legacyデータ）の説明書
✔ 使い分け
Form A： CDISCのみ → 必須 / Legacyのみ → 不要 / 混在→ 必須
Form B： CDISCのみ →  不要 / Legacyのみ → 必須 / 混在→ 必須
データForm AForm BCDISCのみ必須不要Legacyのみ不要必須混在必須必須
</t>
    </r>
    <r>
      <rPr>
        <sz val="6"/>
        <color theme="1"/>
        <rFont val="Segoe UI Symbol"/>
        <family val="3"/>
      </rPr>
      <t>👉</t>
    </r>
    <r>
      <rPr>
        <sz val="6"/>
        <color theme="1"/>
        <rFont val="ＭＳ ゴシック"/>
        <family val="3"/>
        <charset val="128"/>
      </rPr>
      <t xml:space="preserve"> Point：データ種別ごとに説明責任がある
② Form Aの内容（超重要）
含まれる情報：
・基本情報（製品・申請）
・試験一覧
・SDTM / ADaM datasetリスト
・使用標準（SDTM, CT, MedDRAなど）
・Validation結果
・使用ソフト・プログラム
</t>
    </r>
    <r>
      <rPr>
        <sz val="6"/>
        <color theme="1"/>
        <rFont val="Segoe UI Symbol"/>
        <family val="3"/>
      </rPr>
      <t>👉</t>
    </r>
    <r>
      <rPr>
        <sz val="6"/>
        <color theme="1"/>
        <rFont val="ＭＳ ゴシック"/>
        <family val="3"/>
        <charset val="128"/>
      </rPr>
      <t xml:space="preserve"> Point：Define + SDRG + メタ情報の統合版
③ PMDAでの役割（超重要）
Form A/Bは相談資料、受理判定資料
</t>
    </r>
    <r>
      <rPr>
        <sz val="6"/>
        <color theme="1"/>
        <rFont val="Segoe UI Symbol"/>
        <family val="3"/>
      </rPr>
      <t>👉</t>
    </r>
    <r>
      <rPr>
        <sz val="6"/>
        <color theme="1"/>
        <rFont val="ＭＳ ゴシック"/>
        <family val="3"/>
        <charset val="128"/>
      </rPr>
      <t xml:space="preserve"> フロー：
Form A提出 → PMDAレビュー → Error説明確認 → 修正 or 説明 → 本提出
</t>
    </r>
    <r>
      <rPr>
        <sz val="6"/>
        <color theme="1"/>
        <rFont val="Segoe UI Symbol"/>
        <family val="3"/>
      </rPr>
      <t>👉</t>
    </r>
    <r>
      <rPr>
        <sz val="6"/>
        <color theme="1"/>
        <rFont val="ＭＳ ゴシック"/>
        <family val="3"/>
        <charset val="128"/>
      </rPr>
      <t xml:space="preserve"> Point：提出前から審査は始まっている
④ SDSP（FDA）との違い（重要）
✔ SDSP：任意 / テンプレート作成：PhUSE / 対象：非臨床含む
✔ Form A/B：必須 / テンプレート作成：PMDA / 対象：臨床のみ
</t>
    </r>
    <r>
      <rPr>
        <sz val="6"/>
        <color theme="1"/>
        <rFont val="Segoe UI Symbol"/>
        <family val="3"/>
      </rPr>
      <t>👉</t>
    </r>
    <r>
      <rPr>
        <sz val="6"/>
        <color theme="1"/>
        <rFont val="ＭＳ ゴシック"/>
        <family val="3"/>
        <charset val="128"/>
      </rPr>
      <t xml:space="preserve"> Point：Form Aは“日本独自の必須資料”
⑤ PMDA相談（超重要）
　a) 確認相談 Validationエラーの説明 / 修正不能理由
b) 方法相談 データ構造等
</t>
    </r>
    <r>
      <rPr>
        <sz val="6"/>
        <color theme="1"/>
        <rFont val="Segoe UI Symbol"/>
        <family val="3"/>
      </rPr>
      <t>👉</t>
    </r>
    <r>
      <rPr>
        <sz val="6"/>
        <color theme="1"/>
        <rFont val="ＭＳ ゴシック"/>
        <family val="3"/>
        <charset val="128"/>
      </rPr>
      <t xml:space="preserve"> Point：エラーは事前説明が必須
⑥ 重要チェック項目（超実務）
Form A：
・SDTMドメイン一覧
・Define.xml有無
・SDRG有無
・Datasetサイズ
・CTバージョン
</t>
    </r>
    <r>
      <rPr>
        <sz val="6"/>
        <color theme="1"/>
        <rFont val="Segoe UI Symbol"/>
        <family val="3"/>
      </rPr>
      <t>👉</t>
    </r>
    <r>
      <rPr>
        <sz val="6"/>
        <color theme="1"/>
        <rFont val="ＭＳ ゴシック"/>
        <family val="3"/>
        <charset val="128"/>
      </rPr>
      <t xml:space="preserve"> Point：提出内容の“完全カタログ”
⑦ Validationとの関係
Pinnacle21結果を記載
Error理由を説明
⑧ 典型ミス（超重要）
例：
・Form Aと実データ不一致
・CTバージョン不整合
・Domain未提出
</t>
    </r>
    <r>
      <rPr>
        <sz val="6"/>
        <color theme="1"/>
        <rFont val="Segoe UI Symbol"/>
        <family val="3"/>
      </rPr>
      <t>👉</t>
    </r>
    <r>
      <rPr>
        <sz val="6"/>
        <color theme="1"/>
        <rFont val="ＭＳ ゴシック"/>
        <family val="3"/>
        <charset val="128"/>
      </rPr>
      <t xml:space="preserve"> Point：ドキュメント整合性が最重要
⑨ 書類構造（実務）
Form A：
・Study単位で記載
・Dataset単位でチェック
・標準・辞書を明示</t>
    </r>
    <phoneticPr fontId="3"/>
  </si>
  <si>
    <t>SDTM品質管理 / QC</t>
    <phoneticPr fontId="3"/>
  </si>
  <si>
    <t>・QC強化
・Validation補完
・Mapping教育
・プロセス改善</t>
    <phoneticPr fontId="3"/>
  </si>
  <si>
    <t>背景 / 対象 / Issue例 / Mapping問題 / P21限界 / 予防策 / 品質定義</t>
    <phoneticPr fontId="3"/>
  </si>
  <si>
    <t>規制チーム活動報告_SDTM Issueの事例収集_最終報告_20200911.pdf</t>
    <phoneticPr fontId="3"/>
  </si>
  <si>
    <t>050_2020_SDTM Issueの事例収集_最終報告</t>
    <phoneticPr fontId="3"/>
  </si>
  <si>
    <t>LDC / Submission準備</t>
    <phoneticPr fontId="3"/>
  </si>
  <si>
    <t>・LDC対応
・外部データ受入
・SDTM化判断
・見積・委託</t>
    <phoneticPr fontId="3"/>
  </si>
  <si>
    <r>
      <t xml:space="preserve">【概要】
外部または過去に作成された（理解不能な）データセットを受領した際に、当局提出可能な状態にするための判断・調査・対応方法を体系化した実務ガイド。
【背景（超重要）】
</t>
    </r>
    <r>
      <rPr>
        <sz val="6"/>
        <color theme="1"/>
        <rFont val="Segoe UI Symbol"/>
        <family val="3"/>
      </rPr>
      <t>👉</t>
    </r>
    <r>
      <rPr>
        <sz val="6"/>
        <color theme="1"/>
        <rFont val="ＭＳ ゴシック"/>
        <family val="3"/>
        <charset val="128"/>
      </rPr>
      <t xml:space="preserve"> 現実
自分たちが作っていないデータ
作成者に確認できない
</t>
    </r>
    <r>
      <rPr>
        <sz val="6"/>
        <color theme="1"/>
        <rFont val="Segoe UI Symbol"/>
        <family val="3"/>
      </rPr>
      <t>👉</t>
    </r>
    <r>
      <rPr>
        <sz val="6"/>
        <color theme="1"/>
        <rFont val="ＭＳ ゴシック"/>
        <family val="3"/>
        <charset val="128"/>
      </rPr>
      <t xml:space="preserve"> 本質
“仕様不明データ”を扱う仕事
【解決アプローチ／示唆】
① 最大の基本思想（最重要）
</t>
    </r>
    <r>
      <rPr>
        <sz val="6"/>
        <color theme="1"/>
        <rFont val="Segoe UI Symbol"/>
        <family val="3"/>
      </rPr>
      <t>👉</t>
    </r>
    <r>
      <rPr>
        <sz val="6"/>
        <color theme="1"/>
        <rFont val="ＭＳ ゴシック"/>
        <family val="3"/>
        <charset val="128"/>
      </rPr>
      <t xml:space="preserve"> 受領者の本音
「そのまま提出したい」
</t>
    </r>
    <r>
      <rPr>
        <sz val="6"/>
        <color theme="1"/>
        <rFont val="Segoe UI Symbol"/>
        <family val="3"/>
      </rPr>
      <t>👉</t>
    </r>
    <r>
      <rPr>
        <sz val="6"/>
        <color theme="1"/>
        <rFont val="ＭＳ ゴシック"/>
        <family val="3"/>
        <charset val="128"/>
      </rPr>
      <t xml:space="preserve"> しかし
SDTM準拠保証なし
規制要件不明
</t>
    </r>
    <r>
      <rPr>
        <sz val="6"/>
        <color theme="1"/>
        <rFont val="Segoe UI Symbol"/>
        <family val="3"/>
      </rPr>
      <t>👉</t>
    </r>
    <r>
      <rPr>
        <sz val="6"/>
        <color theme="1"/>
        <rFont val="ＭＳ ゴシック"/>
        <family val="3"/>
        <charset val="128"/>
      </rPr>
      <t xml:space="preserve"> Point：そのまま提出は基本NG
② 全体フロー（超重要）
データ受領 → 事前調査 → 決定木で分類 → 対応方針決定 → 見積 → 変換/修正
</t>
    </r>
    <r>
      <rPr>
        <sz val="6"/>
        <color theme="1"/>
        <rFont val="Segoe UI Symbol"/>
        <family val="3"/>
      </rPr>
      <t>👉</t>
    </r>
    <r>
      <rPr>
        <sz val="6"/>
        <color theme="1"/>
        <rFont val="ＭＳ ゴシック"/>
        <family val="3"/>
        <charset val="128"/>
      </rPr>
      <t xml:space="preserve"> Point：“いきなり作業しない”
③ 決定木アプローチ（核心）
分類例：変換なし / Reject修正 / CT更新 / レガシー変換
判定条件：
SDTM提出対象か
SDTM形式か
P21 Reject有無
CT/辞書バージョン
</t>
    </r>
    <r>
      <rPr>
        <sz val="6"/>
        <color theme="1"/>
        <rFont val="Segoe UI Symbol"/>
        <family val="3"/>
      </rPr>
      <t>👉</t>
    </r>
    <r>
      <rPr>
        <sz val="6"/>
        <color theme="1"/>
        <rFont val="ＭＳ ゴシック"/>
        <family val="3"/>
        <charset val="128"/>
      </rPr>
      <t xml:space="preserve"> Point：判断ルールを先に作る
④ 事前調査（超重要）
調査項目：
・SDTMか？
・IG version
・MedDRA/WHODrug
・CT version
・P21結果
　</t>
    </r>
    <r>
      <rPr>
        <sz val="6"/>
        <color theme="1"/>
        <rFont val="Segoe UI Symbol"/>
        <family val="3"/>
      </rPr>
      <t>👉</t>
    </r>
    <r>
      <rPr>
        <sz val="6"/>
        <color theme="1"/>
        <rFont val="ＭＳ ゴシック"/>
        <family val="3"/>
        <charset val="128"/>
      </rPr>
      <t xml:space="preserve"> Point：“状態を見える化”
⑤ 資料の有無（超重要）
チェック：Protocol / Mapping spec / Define.xml / aCRF / SDRG
</t>
    </r>
    <r>
      <rPr>
        <sz val="6"/>
        <color theme="1"/>
        <rFont val="Segoe UI Symbol"/>
        <family val="3"/>
      </rPr>
      <t>👉</t>
    </r>
    <r>
      <rPr>
        <sz val="6"/>
        <color theme="1"/>
        <rFont val="ＭＳ ゴシック"/>
        <family val="3"/>
        <charset val="128"/>
      </rPr>
      <t xml:space="preserve"> Point：資料なし = 難易度爆増
⑥ 最重要問題：レガシーデータ
困難なケース：電子化されていない, DB仕様なし, CRFなし
</t>
    </r>
    <r>
      <rPr>
        <sz val="6"/>
        <color theme="1"/>
        <rFont val="Segoe UI Symbol"/>
        <family val="3"/>
      </rPr>
      <t>👉</t>
    </r>
    <r>
      <rPr>
        <sz val="6"/>
        <color theme="1"/>
        <rFont val="ＭＳ ゴシック"/>
        <family val="3"/>
        <charset val="128"/>
      </rPr>
      <t xml:space="preserve"> 結論：変換ほぼ不可能
</t>
    </r>
    <r>
      <rPr>
        <sz val="6"/>
        <color theme="1"/>
        <rFont val="Segoe UI Symbol"/>
        <family val="3"/>
      </rPr>
      <t>👉</t>
    </r>
    <r>
      <rPr>
        <sz val="6"/>
        <color theme="1"/>
        <rFont val="ＭＳ ゴシック"/>
        <family val="3"/>
        <charset val="128"/>
      </rPr>
      <t xml:space="preserve"> 対応：提出免除相談
⑦ 見積の本質（超重要）
</t>
    </r>
    <r>
      <rPr>
        <sz val="6"/>
        <color theme="1"/>
        <rFont val="Segoe UI Symbol"/>
        <family val="3"/>
      </rPr>
      <t>👉</t>
    </r>
    <r>
      <rPr>
        <sz val="6"/>
        <color theme="1"/>
        <rFont val="ＭＳ ゴシック"/>
        <family val="3"/>
        <charset val="128"/>
      </rPr>
      <t xml:space="preserve"> 難しさ：不確実性が高い / 仕様不明
</t>
    </r>
    <r>
      <rPr>
        <sz val="6"/>
        <color theme="1"/>
        <rFont val="Segoe UI Symbol"/>
        <family val="3"/>
      </rPr>
      <t>👉</t>
    </r>
    <r>
      <rPr>
        <sz val="6"/>
        <color theme="1"/>
        <rFont val="ＭＳ ゴシック"/>
        <family val="3"/>
        <charset val="128"/>
      </rPr>
      <t xml:space="preserve"> 方針：最低限の作業, 不要な修正はしない
</t>
    </r>
    <r>
      <rPr>
        <sz val="6"/>
        <color theme="1"/>
        <rFont val="Segoe UI Symbol"/>
        <family val="3"/>
      </rPr>
      <t>👉</t>
    </r>
    <r>
      <rPr>
        <sz val="6"/>
        <color theme="1"/>
        <rFont val="ＭＳ ゴシック"/>
        <family val="3"/>
        <charset val="128"/>
      </rPr>
      <t xml:space="preserve"> Point：完璧を目指さない
⑧ Error対応方針（超重要）
Reject → 対応
Error → 説明優先
Warning → 原則無視
</t>
    </r>
    <r>
      <rPr>
        <sz val="6"/>
        <color theme="1"/>
        <rFont val="Segoe UI Symbol"/>
        <family val="3"/>
      </rPr>
      <t>👉</t>
    </r>
    <r>
      <rPr>
        <sz val="6"/>
        <color theme="1"/>
        <rFont val="ＭＳ ゴシック"/>
        <family val="3"/>
        <charset val="128"/>
      </rPr>
      <t xml:space="preserve"> Point：直すより説明
⑨ 非ASCII問題（重要）
日本語 → NG
※P21では検出されない
</t>
    </r>
    <r>
      <rPr>
        <sz val="6"/>
        <color theme="1"/>
        <rFont val="Segoe UI Symbol"/>
        <family val="3"/>
      </rPr>
      <t>👉</t>
    </r>
    <r>
      <rPr>
        <sz val="6"/>
        <color theme="1"/>
        <rFont val="ＭＳ ゴシック"/>
        <family val="3"/>
        <charset val="128"/>
      </rPr>
      <t xml:space="preserve"> Point：ツール外チェックが必要
⑩ 当局対応（超重要）
</t>
    </r>
    <r>
      <rPr>
        <sz val="6"/>
        <color theme="1"/>
        <rFont val="Segoe UI Symbol"/>
        <family val="3"/>
      </rPr>
      <t>👉</t>
    </r>
    <r>
      <rPr>
        <sz val="6"/>
        <color theme="1"/>
        <rFont val="ＭＳ ゴシック"/>
        <family val="3"/>
        <charset val="128"/>
      </rPr>
      <t xml:space="preserve"> Point：早めに相談 / 提出可否確認
</t>
    </r>
    <r>
      <rPr>
        <sz val="6"/>
        <color theme="1"/>
        <rFont val="Segoe UI Symbol"/>
        <family val="3"/>
      </rPr>
      <t>👉</t>
    </r>
    <r>
      <rPr>
        <sz val="6"/>
        <color theme="1"/>
        <rFont val="ＭＳ ゴシック"/>
        <family val="3"/>
        <charset val="128"/>
      </rPr>
      <t xml:space="preserve"> 本質：最終判断はPMDA！</t>
    </r>
    <phoneticPr fontId="3"/>
  </si>
  <si>
    <r>
      <t xml:space="preserve">【概要】
Pinnacle21では検出できないSDTMの不備（特にMappingミスや業務上の不整合）を事例として収集し、原因と対策を整理した資料。
【背景（超重要）】
P21後にIssue発覚→手戻り発生
</t>
    </r>
    <r>
      <rPr>
        <sz val="6"/>
        <color theme="1"/>
        <rFont val="Segoe UI Symbol"/>
        <family val="3"/>
      </rPr>
      <t>👉</t>
    </r>
    <r>
      <rPr>
        <sz val="6"/>
        <color theme="1"/>
        <rFont val="ＭＳ ゴシック"/>
        <family val="3"/>
        <charset val="128"/>
      </rPr>
      <t xml:space="preserve"> Point：Validation ≠ 品質保証
【解決アプローチ／示唆】
① P21で検出できないIssue（核心）
P21未検出問題：QC後に発見
</t>
    </r>
    <r>
      <rPr>
        <sz val="6"/>
        <color theme="1"/>
        <rFont val="Segoe UI Symbol"/>
        <family val="3"/>
      </rPr>
      <t>👉</t>
    </r>
    <r>
      <rPr>
        <sz val="6"/>
        <color theme="1"/>
        <rFont val="ＭＳ ゴシック"/>
        <family val="3"/>
        <charset val="128"/>
      </rPr>
      <t xml:space="preserve"> “見えないエラー”への対応
② 典型チェック項目（基本）
（これはP21でも見るが再確認）
・Required変数Null
・日付形式ISO8601
・SEQ重複
・Code/Decode一致
③ P21未検出の具体例（超重要）
a) SUPPドメイン誤用
日付格納 → NG
コメント格納 → NG
※P21では検出されない場合あり
</t>
    </r>
    <r>
      <rPr>
        <sz val="6"/>
        <color theme="1"/>
        <rFont val="Segoe UI Symbol"/>
        <family val="3"/>
      </rPr>
      <t>👉</t>
    </r>
    <r>
      <rPr>
        <sz val="6"/>
        <color theme="1"/>
        <rFont val="ＭＳ ゴシック"/>
        <family val="3"/>
        <charset val="128"/>
      </rPr>
      <t xml:space="preserve"> Point：SUPPは何でも入れてよい箱ではない
b) EGマッピング誤り
本来：SUPPEG（EGCLSIG）
誤り：EGTESTCD=INTP
</t>
    </r>
    <r>
      <rPr>
        <sz val="6"/>
        <color theme="1"/>
        <rFont val="Segoe UI Symbol"/>
        <family val="3"/>
      </rPr>
      <t>👉</t>
    </r>
    <r>
      <rPr>
        <sz val="6"/>
        <color theme="1"/>
        <rFont val="ＭＳ ゴシック"/>
        <family val="3"/>
        <charset val="128"/>
      </rPr>
      <t xml:space="preserve"> Point：意味的マッピングは検出されない
c) LB日付誤り
正：LBDTC
誤：LBSTDTC
</t>
    </r>
    <r>
      <rPr>
        <sz val="6"/>
        <color theme="1"/>
        <rFont val="Segoe UI Symbol"/>
        <family val="3"/>
      </rPr>
      <t>👉</t>
    </r>
    <r>
      <rPr>
        <sz val="6"/>
        <color theme="1"/>
        <rFont val="ＭＳ ゴシック"/>
        <family val="3"/>
        <charset val="128"/>
      </rPr>
      <t xml:space="preserve"> Point：--DTC vs --STDTCの誤用
d) AE設計ミス
AEOCCUR → NG
未発生AEはAEに書かない
→ 正：FAで管理
</t>
    </r>
    <r>
      <rPr>
        <sz val="6"/>
        <color theme="1"/>
        <rFont val="Segoe UI Symbol"/>
        <family val="3"/>
      </rPr>
      <t>👉</t>
    </r>
    <r>
      <rPr>
        <sz val="6"/>
        <color theme="1"/>
        <rFont val="ＭＳ ゴシック"/>
        <family val="3"/>
        <charset val="128"/>
      </rPr>
      <t xml:space="preserve"> Point：“存在しないイベントは書かない”
e) TU重複
同一腫瘍複数visitに記録
</t>
    </r>
    <r>
      <rPr>
        <sz val="6"/>
        <color theme="1"/>
        <rFont val="Segoe UI Symbol"/>
        <family val="3"/>
      </rPr>
      <t>👉</t>
    </r>
    <r>
      <rPr>
        <sz val="6"/>
        <color theme="1"/>
        <rFont val="ＭＳ ゴシック"/>
        <family val="3"/>
        <charset val="128"/>
      </rPr>
      <t xml:space="preserve"> Point：1 entity = 1レコード原則
f) CT更新漏れ
DROPの扱い（gtt → DROP）
</t>
    </r>
    <r>
      <rPr>
        <sz val="6"/>
        <color theme="1"/>
        <rFont val="Segoe UI Symbol"/>
        <family val="3"/>
      </rPr>
      <t>👉</t>
    </r>
    <r>
      <rPr>
        <sz val="6"/>
        <color theme="1"/>
        <rFont val="ＭＳ ゴシック"/>
        <family val="3"/>
        <charset val="128"/>
      </rPr>
      <t xml:space="preserve"> Point：辞書は更新される
④ P21で見えない分類（超重要）
SUPPドメイン
Custom Domain
業務ルール
データ欠如
Conditional rule
“それっぽい”データ
</t>
    </r>
    <r>
      <rPr>
        <sz val="6"/>
        <color theme="1"/>
        <rFont val="Segoe UI Symbol"/>
        <family val="3"/>
      </rPr>
      <t>👉</t>
    </r>
    <r>
      <rPr>
        <sz val="6"/>
        <color theme="1"/>
        <rFont val="ＭＳ ゴシック"/>
        <family val="3"/>
        <charset val="128"/>
      </rPr>
      <t xml:space="preserve"> Point：P21は一部しかチェックしない
⑤ 最重要：Mapping問題
</t>
    </r>
    <r>
      <rPr>
        <sz val="6"/>
        <color theme="1"/>
        <rFont val="Segoe UI Symbol"/>
        <family val="3"/>
      </rPr>
      <t>👉</t>
    </r>
    <r>
      <rPr>
        <sz val="6"/>
        <color theme="1"/>
        <rFont val="ＭＳ ゴシック"/>
        <family val="3"/>
        <charset val="128"/>
      </rPr>
      <t xml:space="preserve"> P21の弱点
正しくないが“それっぽい”→ 検出されない
例：
EGCLSIG → INTP
LB日付
AE設計
</t>
    </r>
    <r>
      <rPr>
        <sz val="6"/>
        <color theme="1"/>
        <rFont val="Segoe UI Symbol"/>
        <family val="3"/>
      </rPr>
      <t>👉</t>
    </r>
    <r>
      <rPr>
        <sz val="6"/>
        <color theme="1"/>
        <rFont val="ＭＳ ゴシック"/>
        <family val="3"/>
        <charset val="128"/>
      </rPr>
      <t xml:space="preserve"> Point：“意味”はチェックできない
⑥ 対策（超重要）
仕様レビュー
ダブルプログラミング
チェックリスト
</t>
    </r>
    <r>
      <rPr>
        <sz val="6"/>
        <color theme="1"/>
        <rFont val="Segoe UI Symbol"/>
        <family val="3"/>
      </rPr>
      <t>👉</t>
    </r>
    <r>
      <rPr>
        <sz val="6"/>
        <color theme="1"/>
        <rFont val="ＭＳ ゴシック"/>
        <family val="3"/>
        <charset val="128"/>
      </rPr>
      <t xml:space="preserve"> Point：人間のレビュー必須
⑦ 品質の定義（超重要）
</t>
    </r>
    <r>
      <rPr>
        <sz val="6"/>
        <color theme="1"/>
        <rFont val="Segoe UI Symbol"/>
        <family val="3"/>
      </rPr>
      <t>👉</t>
    </r>
    <r>
      <rPr>
        <sz val="6"/>
        <color theme="1"/>
        <rFont val="ＭＳ ゴシック"/>
        <family val="3"/>
        <charset val="128"/>
      </rPr>
      <t xml:space="preserve"> SDTM品質とは
ADaMが作れる
CSRが作れる
当局が理解できる
</t>
    </r>
    <r>
      <rPr>
        <sz val="6"/>
        <color theme="1"/>
        <rFont val="Segoe UI Symbol"/>
        <family val="3"/>
      </rPr>
      <t>👉</t>
    </r>
    <r>
      <rPr>
        <sz val="6"/>
        <color theme="1"/>
        <rFont val="ＭＳ ゴシック"/>
        <family val="3"/>
        <charset val="128"/>
      </rPr>
      <t xml:space="preserve"> Point：使えることが品質
⑧ 最終結論（超重要）
完全なIssueリストは作れない
</t>
    </r>
    <r>
      <rPr>
        <sz val="6"/>
        <color theme="1"/>
        <rFont val="Segoe UI Symbol"/>
        <family val="3"/>
      </rPr>
      <t>👉</t>
    </r>
    <r>
      <rPr>
        <sz val="6"/>
        <color theme="1"/>
        <rFont val="ＭＳ ゴシック"/>
        <family val="3"/>
        <charset val="128"/>
      </rPr>
      <t xml:space="preserve"> 解決→プロセス構築、PDCA = ツールではなくプロセスで守る</t>
    </r>
    <phoneticPr fontId="3"/>
  </si>
  <si>
    <r>
      <t xml:space="preserve">【概要】
Legacy Data Conversion（旧試験データのSDTM変換）における課題・対応方針・TIPSを整理した活動報告。データ入手、辞書不明、単位不一致など実務上の困難に対する対応方法が中心。
【LDCとは（重要）】
</t>
    </r>
    <r>
      <rPr>
        <sz val="6"/>
        <color theme="1"/>
        <rFont val="Segoe UI Symbol"/>
        <family val="3"/>
      </rPr>
      <t>👉</t>
    </r>
    <r>
      <rPr>
        <sz val="6"/>
        <color theme="1"/>
        <rFont val="ＭＳ ゴシック"/>
        <family val="3"/>
        <charset val="128"/>
      </rPr>
      <t xml:space="preserve"> 過去の試験データ → SDTMへ変換
</t>
    </r>
    <r>
      <rPr>
        <sz val="6"/>
        <color theme="1"/>
        <rFont val="Segoe UI Symbol"/>
        <family val="3"/>
      </rPr>
      <t>👉</t>
    </r>
    <r>
      <rPr>
        <sz val="6"/>
        <color theme="1"/>
        <rFont val="ＭＳ ゴシック"/>
        <family val="3"/>
        <charset val="128"/>
      </rPr>
      <t xml:space="preserve"> 特徴
古いデータ / 不完全 / 仕様不明
</t>
    </r>
    <r>
      <rPr>
        <sz val="6"/>
        <color theme="1"/>
        <rFont val="Segoe UI Symbol"/>
        <family val="3"/>
      </rPr>
      <t>👉</t>
    </r>
    <r>
      <rPr>
        <sz val="6"/>
        <color theme="1"/>
        <rFont val="ＭＳ ゴシック"/>
        <family val="3"/>
        <charset val="128"/>
      </rPr>
      <t xml:space="preserve"> Point：“ない情報”と戦う仕事
【解決アプローチ／示唆】
① 最大の課題：進め方（超重要）
問題：
いつ開始すべき？
データ・プログラムが入手できない
資料不足
</t>
    </r>
    <r>
      <rPr>
        <sz val="6"/>
        <color theme="1"/>
        <rFont val="Segoe UI Symbol"/>
        <family val="3"/>
      </rPr>
      <t>👉</t>
    </r>
    <r>
      <rPr>
        <sz val="6"/>
        <color theme="1"/>
        <rFont val="ＭＳ ゴシック"/>
        <family val="3"/>
        <charset val="128"/>
      </rPr>
      <t xml:space="preserve"> 典型ケース
契約上の制約でデータ未入手
FDA不要 → PMDA必要
&lt;解決方針&gt;
✔ RAWデータ優先
✔ CSR / TLFで検証
</t>
    </r>
    <r>
      <rPr>
        <sz val="6"/>
        <color theme="1"/>
        <rFont val="Segoe UI Symbol"/>
        <family val="3"/>
      </rPr>
      <t>👉</t>
    </r>
    <r>
      <rPr>
        <sz val="6"/>
        <color theme="1"/>
        <rFont val="ＭＳ ゴシック"/>
        <family val="3"/>
        <charset val="128"/>
      </rPr>
      <t xml:space="preserve"> Point：唯一の真実 = RAW
② データ不整合問題（超重要）
問題：
データ vs 仕様どちらが正しい？
古いプログラム不明
</t>
    </r>
    <r>
      <rPr>
        <sz val="6"/>
        <color theme="1"/>
        <rFont val="Segoe UI Symbol"/>
        <family val="3"/>
      </rPr>
      <t>👉</t>
    </r>
    <r>
      <rPr>
        <sz val="6"/>
        <color theme="1"/>
        <rFont val="ＭＳ ゴシック"/>
        <family val="3"/>
        <charset val="128"/>
      </rPr>
      <t xml:space="preserve"> 対応：RAW → TLF再現 / 旧解析 → TLF再現
③ 辞書・CT問題（超重要）
問題：CT version不明、WHODrug version不明
</t>
    </r>
    <r>
      <rPr>
        <sz val="6"/>
        <color theme="1"/>
        <rFont val="Segoe UI Symbol"/>
        <family val="3"/>
      </rPr>
      <t>👉</t>
    </r>
    <r>
      <rPr>
        <sz val="6"/>
        <color theme="1"/>
        <rFont val="ＭＳ ゴシック"/>
        <family val="3"/>
        <charset val="128"/>
      </rPr>
      <t xml:space="preserve"> 対応：
a) エラー箇所のみrecode
b) PMDA受入CTに合わせる
c) 試験内で整合させる [LDCチーム活動報告 | PDF]
</t>
    </r>
    <r>
      <rPr>
        <sz val="6"/>
        <color theme="1"/>
        <rFont val="Segoe UI Symbol"/>
        <family val="3"/>
      </rPr>
      <t>👉</t>
    </r>
    <r>
      <rPr>
        <sz val="6"/>
        <color theme="1"/>
        <rFont val="ＭＳ ゴシック"/>
        <family val="3"/>
        <charset val="128"/>
      </rPr>
      <t xml:space="preserve"> Point：完全一致は無理 → 現実解で対応
④ SI単位問題（重要）
問題：試験間で単位バラバラ
</t>
    </r>
    <r>
      <rPr>
        <sz val="6"/>
        <color theme="1"/>
        <rFont val="Segoe UI Symbol"/>
        <family val="3"/>
      </rPr>
      <t>👉</t>
    </r>
    <r>
      <rPr>
        <sz val="6"/>
        <color theme="1"/>
        <rFont val="ＭＳ ゴシック"/>
        <family val="3"/>
        <charset val="128"/>
      </rPr>
      <t xml:space="preserve"> Point：申請単位で整合
⑤ Mapping問題（重要）
例：CTにない用語、複数選択（DSなど）
</t>
    </r>
    <r>
      <rPr>
        <sz val="6"/>
        <color theme="1"/>
        <rFont val="Segoe UI Symbol"/>
        <family val="3"/>
      </rPr>
      <t>👉</t>
    </r>
    <r>
      <rPr>
        <sz val="6"/>
        <color theme="1"/>
        <rFont val="ＭＳ ゴシック"/>
        <family val="3"/>
        <charset val="128"/>
      </rPr>
      <t xml:space="preserve"> Point：標準外データの扱い
⑥ 最重要Tips（超実務）
✓Tip① PMDA相談戦略
・初回で方針合意
・横展開
✓Tip② ベンダー活用
・先にScope定義
・その後見積
</t>
    </r>
    <r>
      <rPr>
        <sz val="6"/>
        <color theme="1"/>
        <rFont val="Segoe UI Symbol"/>
        <family val="3"/>
      </rPr>
      <t>👉</t>
    </r>
    <r>
      <rPr>
        <sz val="6"/>
        <color theme="1"/>
        <rFont val="ＭＳ ゴシック"/>
        <family val="3"/>
        <charset val="128"/>
      </rPr>
      <t xml:space="preserve"> Point：曖昧な依頼はNG
✓Tip③ Error対応（超重要）
・SDRGにIssue Summary記載
・修正せず説明で通る場合あり
・Erro等は割り切った分かり易く説明がよい
・修正回避のため具体性を欠く説明記載は受け入れ可否を判断されない場合あり</t>
    </r>
    <phoneticPr fontId="3"/>
  </si>
  <si>
    <r>
      <t xml:space="preserve">【概要】
試験継続中のデータ（中間解析）を用いて承認申請する際のSDTMデータセット作成方針・課題・対応方法を整理した資料。未確定データやカットオフ処理に起因する問題への対応が主題。
【背景（最重要）】
</t>
    </r>
    <r>
      <rPr>
        <sz val="6"/>
        <color theme="1"/>
        <rFont val="Segoe UI Symbol"/>
        <family val="3"/>
      </rPr>
      <t>👉</t>
    </r>
    <r>
      <rPr>
        <sz val="6"/>
        <color theme="1"/>
        <rFont val="ＭＳ ゴシック"/>
        <family val="3"/>
        <charset val="128"/>
      </rPr>
      <t xml:space="preserve"> 中間解析では
AE終了日：未確定
CM使用期間：継続中
投与終了日：未確定
</t>
    </r>
    <r>
      <rPr>
        <sz val="6"/>
        <color theme="1"/>
        <rFont val="Segoe UI Symbol"/>
        <family val="3"/>
      </rPr>
      <t>👉</t>
    </r>
    <r>
      <rPr>
        <sz val="6"/>
        <color theme="1"/>
        <rFont val="ＭＳ ゴシック"/>
        <family val="3"/>
        <charset val="128"/>
      </rPr>
      <t xml:space="preserve"> 結果
通常SDTMの前提が崩れる
</t>
    </r>
    <r>
      <rPr>
        <sz val="6"/>
        <color theme="1"/>
        <rFont val="Segoe UI Symbol"/>
        <family val="3"/>
      </rPr>
      <t>👉</t>
    </r>
    <r>
      <rPr>
        <sz val="6"/>
        <color theme="1"/>
        <rFont val="ＭＳ ゴシック"/>
        <family val="3"/>
        <charset val="128"/>
      </rPr>
      <t xml:space="preserve"> Point：“未完成データで提出する”問題
【解決アプローチ／示唆】
① 最低限の要件（超重要）
提出要件を満たす必要な解析ができる
② 規制要件の核心（PMDA）
✔ カットオフまでのデータは必須
✔ それ以降のデータも含めてよい
✔ 両者を区別して説明
③ 最重要設計判断（超重要）
パターン
A：カットオフまでのみ格納 → SDTM：シンプル / ADaM：シンプル / Validation：安定
B：カットオフ以降も含める→ SDTM：複雑 / ADaM：複雑 / Validation：エラー増加
④ データカット方法（超重要）
方式
a) 日付ベース → シンプル
b) VISITベース → 複雑
</t>
    </r>
    <r>
      <rPr>
        <sz val="6"/>
        <color theme="1"/>
        <rFont val="Segoe UI Symbol"/>
        <family val="3"/>
      </rPr>
      <t>👉</t>
    </r>
    <r>
      <rPr>
        <sz val="6"/>
        <color theme="1"/>
        <rFont val="ＭＳ ゴシック"/>
        <family val="3"/>
        <charset val="128"/>
      </rPr>
      <t xml:space="preserve"> Point
カット方法が設計を決める
⑤ SDTM作成アプローチ
a)事前設計型：問題を想定して仕様化
b) 事後対応型：P21で検出 → 修正
</t>
    </r>
    <r>
      <rPr>
        <sz val="6"/>
        <color theme="1"/>
        <rFont val="Segoe UI Symbol"/>
        <family val="3"/>
      </rPr>
      <t>👉</t>
    </r>
    <r>
      <rPr>
        <sz val="6"/>
        <color theme="1"/>
        <rFont val="ＭＳ ゴシック"/>
        <family val="3"/>
        <charset val="128"/>
      </rPr>
      <t xml:space="preserve"> 推奨：ハイブリッド
⑥ 品質基準（重要）
Reject：NG / Error：判断 / Warning：許容可能
</t>
    </r>
    <r>
      <rPr>
        <sz val="6"/>
        <color theme="1"/>
        <rFont val="Segoe UI Symbol"/>
        <family val="3"/>
      </rPr>
      <t>👉</t>
    </r>
    <r>
      <rPr>
        <sz val="6"/>
        <color theme="1"/>
        <rFont val="ＭＳ ゴシック"/>
        <family val="3"/>
        <charset val="128"/>
      </rPr>
      <t xml:space="preserve"> Point
“完全一致”ではなく“許容設計”
⑦ クラス別対応（超重要核心）
✔ Special Purpose（DM/SE）
問題：未確定
RFENDTC / RFXENDTC / RFPENDTC
</t>
    </r>
    <r>
      <rPr>
        <sz val="6"/>
        <color theme="1"/>
        <rFont val="Segoe UI Symbol"/>
        <family val="3"/>
      </rPr>
      <t>👉</t>
    </r>
    <r>
      <rPr>
        <sz val="6"/>
        <color theme="1"/>
        <rFont val="ＭＳ ゴシック"/>
        <family val="3"/>
        <charset val="128"/>
      </rPr>
      <t xml:space="preserve"> 対応：Null / カットオフ日 / 最終日付
</t>
    </r>
    <r>
      <rPr>
        <sz val="6"/>
        <color theme="1"/>
        <rFont val="Segoe UI Symbol"/>
        <family val="3"/>
      </rPr>
      <t>👉</t>
    </r>
    <r>
      <rPr>
        <sz val="6"/>
        <color theme="1"/>
        <rFont val="ＭＳ ゴシック"/>
        <family val="3"/>
        <charset val="128"/>
      </rPr>
      <t xml:space="preserve"> Point：“最終日”が存在しない問題
✔ Intervention（CM, EX）
問題：ENDTCなし（継続中）
</t>
    </r>
    <r>
      <rPr>
        <sz val="6"/>
        <color theme="1"/>
        <rFont val="Segoe UI Symbol"/>
        <family val="3"/>
      </rPr>
      <t>👉</t>
    </r>
    <r>
      <rPr>
        <sz val="6"/>
        <color theme="1"/>
        <rFont val="ＭＳ ゴシック"/>
        <family val="3"/>
        <charset val="128"/>
      </rPr>
      <t xml:space="preserve">対応：ENTPT = Cutoff, ENRTPT = ONGOING
</t>
    </r>
    <r>
      <rPr>
        <sz val="6"/>
        <color theme="1"/>
        <rFont val="Segoe UI Symbol"/>
        <family val="3"/>
      </rPr>
      <t>👉</t>
    </r>
    <r>
      <rPr>
        <sz val="6"/>
        <color theme="1"/>
        <rFont val="ＭＳ ゴシック"/>
        <family val="3"/>
        <charset val="128"/>
      </rPr>
      <t xml:space="preserve"> Point：ONGOINGを明示
✔ Event（AE）
問題：coding未完了 / AEDECOD必須
</t>
    </r>
    <r>
      <rPr>
        <sz val="6"/>
        <color theme="1"/>
        <rFont val="Segoe UI Symbol"/>
        <family val="3"/>
      </rPr>
      <t>👉</t>
    </r>
    <r>
      <rPr>
        <sz val="6"/>
        <color theme="1"/>
        <rFont val="ＭＳ ゴシック"/>
        <family val="3"/>
        <charset val="128"/>
      </rPr>
      <t xml:space="preserve">対応：空欄NG（Reject） → 仮値 or coding
</t>
    </r>
    <r>
      <rPr>
        <sz val="6"/>
        <color theme="1"/>
        <rFont val="Segoe UI Symbol"/>
        <family val="3"/>
      </rPr>
      <t>👉</t>
    </r>
    <r>
      <rPr>
        <sz val="6"/>
        <color theme="1"/>
        <rFont val="ＭＳ ゴシック"/>
        <family val="3"/>
        <charset val="128"/>
      </rPr>
      <t xml:space="preserve"> Point：Required項目は絶対埋める
✔ Findings（LB等）
問題：カット対象
</t>
    </r>
    <r>
      <rPr>
        <sz val="6"/>
        <color theme="1"/>
        <rFont val="Segoe UI Symbol"/>
        <family val="3"/>
      </rPr>
      <t>👉</t>
    </r>
    <r>
      <rPr>
        <sz val="6"/>
        <color theme="1"/>
        <rFont val="ＭＳ ゴシック"/>
        <family val="3"/>
        <charset val="128"/>
      </rPr>
      <t xml:space="preserve"> 含めるか設計次第
✔ Trial Design（TS）
問題：DCUTDTC（カット日） / DCUTDESC
</t>
    </r>
    <r>
      <rPr>
        <sz val="6"/>
        <color theme="1"/>
        <rFont val="Segoe UI Symbol"/>
        <family val="3"/>
      </rPr>
      <t>👉</t>
    </r>
    <r>
      <rPr>
        <sz val="6"/>
        <color theme="1"/>
        <rFont val="ＭＳ ゴシック"/>
        <family val="3"/>
        <charset val="128"/>
      </rPr>
      <t xml:space="preserve"> Point：カット情報は必ず明示
⑧ 典型Validationエラー
例：
AEDECOD空 → Reject
STDTC &gt; ENDTC → Error
RFXENDTC不整合 → Error
</t>
    </r>
    <r>
      <rPr>
        <sz val="6"/>
        <color theme="1"/>
        <rFont val="Segoe UI Symbol"/>
        <family val="3"/>
      </rPr>
      <t>👉</t>
    </r>
    <r>
      <rPr>
        <sz val="6"/>
        <color theme="1"/>
        <rFont val="ＭＳ ゴシック"/>
        <family val="3"/>
        <charset val="128"/>
      </rPr>
      <t xml:space="preserve"> Point：未確定データ = エラー源
⑨ SDRG / define.xml影響
変更点</t>
    </r>
    <r>
      <rPr>
        <sz val="6"/>
        <color theme="1"/>
        <rFont val="Segoe UI Symbol"/>
        <family val="3"/>
      </rPr>
      <t>👇</t>
    </r>
    <r>
      <rPr>
        <sz val="6"/>
        <color theme="1"/>
        <rFont val="ＭＳ ゴシック"/>
        <family val="3"/>
        <charset val="128"/>
      </rPr>
      <t xml:space="preserve">
define：Origin変更（CRF→Assigned）
SDRG：継続中説明必須
</t>
    </r>
    <r>
      <rPr>
        <sz val="6"/>
        <color theme="1"/>
        <rFont val="Segoe UI Symbol"/>
        <family val="3"/>
      </rPr>
      <t>👉</t>
    </r>
    <r>
      <rPr>
        <sz val="6"/>
        <color theme="1"/>
        <rFont val="ＭＳ ゴシック"/>
        <family val="3"/>
        <charset val="128"/>
      </rPr>
      <t xml:space="preserve"> Point：データだけでなく説明も変わる
⑩ 最重要メッセージ
</t>
    </r>
    <r>
      <rPr>
        <sz val="6"/>
        <color theme="1"/>
        <rFont val="Segoe UI Symbol"/>
        <family val="3"/>
      </rPr>
      <t>👉</t>
    </r>
    <r>
      <rPr>
        <sz val="6"/>
        <color theme="1"/>
        <rFont val="ＭＳ ゴシック"/>
        <family val="3"/>
        <charset val="128"/>
      </rPr>
      <t xml:space="preserve"> データが未完成かつ試験ごとに異なるため、中間解析SDTMは標準化できない</t>
    </r>
    <phoneticPr fontId="3"/>
  </si>
  <si>
    <t>目的 / 定義 / 取扱いフロー / 決定木 / 調査 / 見積 / Tips / 当局対応</t>
    <phoneticPr fontId="3"/>
  </si>
  <si>
    <t>知らない人が作成したデータセットの取り扱い.pdf</t>
    <phoneticPr fontId="3"/>
  </si>
  <si>
    <t>051_2020_知らない人が作成したデータセットの取り扱い</t>
    <phoneticPr fontId="3"/>
  </si>
  <si>
    <t>4.4参考資料.pdf</t>
    <phoneticPr fontId="3"/>
  </si>
  <si>
    <t>知らないデータを“扱える状態”にするためのチェック表</t>
    <phoneticPr fontId="3"/>
  </si>
  <si>
    <t>SDTM品質管理 / QC
LDC / Submission準備</t>
    <phoneticPr fontId="3"/>
  </si>
  <si>
    <t>13-a</t>
    <phoneticPr fontId="3"/>
  </si>
  <si>
    <t>13-b</t>
    <phoneticPr fontId="3"/>
  </si>
  <si>
    <t>13-c</t>
    <phoneticPr fontId="3"/>
  </si>
  <si>
    <t>29-a</t>
    <phoneticPr fontId="3"/>
  </si>
  <si>
    <t>29-b</t>
    <phoneticPr fontId="3"/>
  </si>
  <si>
    <t>29-c</t>
    <phoneticPr fontId="3"/>
  </si>
  <si>
    <t>31-a</t>
    <phoneticPr fontId="3"/>
  </si>
  <si>
    <t>31-b</t>
    <phoneticPr fontId="3"/>
  </si>
  <si>
    <t>37-a</t>
    <phoneticPr fontId="3"/>
  </si>
  <si>
    <t>37-b</t>
    <phoneticPr fontId="3"/>
  </si>
  <si>
    <t>「知らない人が作成したデータセットの取り扱い.pdf」のチェックリストを実務用テンプレ―トとして落とし込んだ付属資料
【構成】
① 資料の有無チェック
・Protocol
・Mapping仕様
・Define.xml
・aCRF
・SDRG
② 規格適合チェック
・SDTM IG version
・CT / MedDRA / WHODrug
・PDF / Define
③ 品質・整合性チェック
・XPT vs Define vs SDRG 一致
・ラベル一致
・Dataset命名規則
・非ASCII有無
④ レガシー前提チェック（重要）
・電子データ存在
・DB化可能
・CRF/仕様有無</t>
    <rPh sb="48" eb="49">
      <t>オ</t>
    </rPh>
    <rPh sb="51" eb="52">
      <t>コ</t>
    </rPh>
    <rPh sb="54" eb="58">
      <t>フゾクシリョウ</t>
    </rPh>
    <rPh sb="60" eb="62">
      <t>コウセイ</t>
    </rPh>
    <phoneticPr fontId="3"/>
  </si>
  <si>
    <t xml:space="preserve">Pinnacle21では対応困難なValidation課題（特にAPドメイン）に対し、XQueryを用いてDataset-XMLおよびDefine.xmlを直接検証するアプローチを提示した資料。Validationをツール依存から設計可能なプロセスへ拡張することを目的としている。
</t>
    <phoneticPr fontId="3"/>
  </si>
  <si>
    <t xml:space="preserve">延長試験（Extension Study）におけるSDTMデータ設計の課題を整理し、Segmentation（分割）とConsolidation（統合）の比較を通じて、Validationおよび規制レビューに耐える設計方針を提示した資料。特にDM・STUDYID・時系列変数に起因する構造的問題を扱う。
</t>
    <phoneticPr fontId="3"/>
  </si>
  <si>
    <t xml:space="preserve">TAUG（Therapeutic Area User Guide）の役割と構造、およびSDTMIGでは扱えない疾患特有データをどのように標準化・実装するかを示した資料。SDTMの拡張設計における実務指針を提供する。
</t>
    <phoneticPr fontId="3"/>
  </si>
  <si>
    <t xml:space="preserve">SDTM/ADaMにおけるメタデータ（Dataset・Variable・Controlled Terminologyなど）の管理方針を整理し、特にCT（Controlled Terminology）のバージョン管理・統一戦略に関する実務課題と対応方針を示した資料。
</t>
    <phoneticPr fontId="3"/>
  </si>
  <si>
    <t xml:space="preserve">Value Level Metadata（VLM）の設計方針について、Define-XML v2.0・SDTMIG・PMDAルールの不整合を整理し、実務上の最適なVLM設計（最小化・整合性確保）を提示した資料。
</t>
    <phoneticPr fontId="3"/>
  </si>
  <si>
    <t xml:space="preserve">Controlled Terminology（CT）の頻繁な更新と試験間不整合の問題を解決するため、組織横断でのCT管理プロセス、独自ID（組織コード）による一貫管理、およびメタデータ基盤を用いたベストプラクティスを提示した資料。
</t>
    <phoneticPr fontId="3"/>
  </si>
  <si>
    <t xml:space="preserve">SDTM Validation Rules 1.0 と FDA Business / Validator Rules（v1.0, v1.1）を比較し、ルールの削除・追加・変更の傾向を分析することで、規制要件におけるValidationの本質を整理した資料。
</t>
    <phoneticPr fontId="3"/>
  </si>
  <si>
    <t>RACEデータの定義、収集方法、Controlled Terminology制約（非拡張）、Pinnacle21 Validationとの整合、さらにRACEとRACECの役割分担について整理し、実務上の混乱とその対応方針を示した資料。</t>
    <phoneticPr fontId="3"/>
  </si>
  <si>
    <t xml:space="preserve">限られたリソースの中でSDTM品質を確保するため、QC対象の選定、実施タイミング、効率化手法（自動化・標準化）を整理し、合理的なQC戦略を提示した資料。
</t>
    <phoneticPr fontId="3"/>
  </si>
  <si>
    <t xml:space="preserve">SDTMを入力データとして中央モニタリング（RBM）を実施し、可視化ツール（Power BI）を用いて安全性や試験進捗を分析することで、SDTMを日常業務に活用する方法を示した実践的な活動報告。
</t>
    <phoneticPr fontId="3"/>
  </si>
  <si>
    <t xml:space="preserve">試験進行後にTrial Design Dataset（TS/TI/TA）を修正した実践事例であり、プロトコルとの整合、EPOCH設計、Validation限界、用語管理（NDF-RT）といったTrial Designの運用課題と対策を整理した報告。
</t>
    <phoneticPr fontId="3"/>
  </si>
  <si>
    <t>模擬試験データに対してPinnacle21によるValidationを実施し、Reject/Errorの原因分析・修正・SDRG用Issue Summary作成までの一連のプロセスを実践的に整理した活動報告。</t>
    <phoneticPr fontId="3"/>
  </si>
  <si>
    <t xml:space="preserve">AE・併用薬・既往歴について、MedDRAおよびATCに基づくコーディング結果を一覧化した資料であり、SDTMにおけるCoding（標準用語マッピング）の実装実例を示す。 </t>
    <phoneticPr fontId="3"/>
  </si>
  <si>
    <t>Pinnacle21で検出されたValidationエラーについて、原因・修正可否・解析影響を整理し、SDRGに記載する「Issue Summary」の具体的な記載例を示した資料。</t>
    <phoneticPr fontId="3"/>
  </si>
  <si>
    <t>define.xml作成における実務課題（単体バリデーション、データセットとの不整合、コードリスト・単位の扱いなど）を整理し、SDTM提出時のメタデータ整合性の重要性を示した活動報告。</t>
    <phoneticPr fontId="3"/>
  </si>
  <si>
    <t xml:space="preserve">模擬試験（PV0363）のSDRG（Study Data Reviewer’s Guide）を作成し、その構成・記載方針・実務上の検討ポイントを整理した活動報告。
</t>
    <phoneticPr fontId="3"/>
  </si>
  <si>
    <t>模擬試験PV0363におけるSDTM作成活動を総括し、データ作成から提出資料（SDRG、define.xml等）までの全工程で発生した課題と改善点を整理した資料。</t>
    <phoneticPr fontId="3"/>
  </si>
  <si>
    <t>試験継続中のデータ（中間解析）を用いて承認申請する際のSDTMデータセット作成方針・課題・対応方法を整理した資料。未確定データやカットオフ処理に起因する問題への対応が主題。</t>
    <phoneticPr fontId="3"/>
  </si>
  <si>
    <t>「知らない人が作成したデータセットの取り扱い.pdf」のチェックリストを実務用テンプレ―トとして落とし込んだ付属資料</t>
    <rPh sb="48" eb="49">
      <t>オ</t>
    </rPh>
    <rPh sb="51" eb="52">
      <t>コ</t>
    </rPh>
    <rPh sb="54" eb="58">
      <t>フゾクシリョウ</t>
    </rPh>
    <phoneticPr fontId="3"/>
  </si>
  <si>
    <t>外部または過去に作成された（理解不能な）データセットを受領した際に、当局提出可能な状態にするための判断・調査・対応方法を体系化した実務ガイド。</t>
    <phoneticPr fontId="3"/>
  </si>
  <si>
    <t>PMDAに電子データ（SDTM/ADaM）を提出する際に必要となるForm AおよびForm Bの役割・記載内容・提出プロセスを解説した資料。</t>
    <phoneticPr fontId="3"/>
  </si>
  <si>
    <t>Pinnacle21では検出できないSDTMの不備（特にMappingミスや業務上の不整合）を事例として収集し、原因と対策を整理した資料。</t>
    <phoneticPr fontId="3"/>
  </si>
  <si>
    <t>アンケートに載せる資料名</t>
    <rPh sb="6" eb="7">
      <t>ノ</t>
    </rPh>
    <rPh sb="9" eb="12">
      <t>シリョウメイ</t>
    </rPh>
    <phoneticPr fontId="3"/>
  </si>
  <si>
    <t>Zipファイル名編集</t>
    <rPh sb="8" eb="10">
      <t>ヘンシュウ</t>
    </rPh>
    <phoneticPr fontId="3"/>
  </si>
  <si>
    <t>資料名(ファイル名）編集</t>
    <rPh sb="10" eb="12">
      <t>ヘンシュウ</t>
    </rPh>
    <phoneticPr fontId="3"/>
  </si>
  <si>
    <t>Validation of AP domain data using Xquery</t>
  </si>
  <si>
    <t>Create SDTM Datasets for extended study</t>
  </si>
  <si>
    <t>Therapeutic Area Standard Overview</t>
  </si>
  <si>
    <t>Metadata Management</t>
  </si>
  <si>
    <t>Value Level Metadata検討</t>
  </si>
  <si>
    <t>SDTM Validation rules 1.0 VS FDA Validator Rule 1.0and1.1</t>
  </si>
  <si>
    <t>RACEについて</t>
  </si>
  <si>
    <t>SDTM QCの手引き</t>
  </si>
  <si>
    <t>CJUG SDTM データレビューチーム報告</t>
  </si>
  <si>
    <t>Trial Design Datasets 試験終了時の整備</t>
  </si>
  <si>
    <t>CJUG SDTM Pinnacle 21 validation team活動報告</t>
  </si>
  <si>
    <t>CJUG SDTM define.xml team活動報告</t>
  </si>
  <si>
    <t>Activity Report on Sub Team (Study Data Reviewer’s Guide)</t>
  </si>
  <si>
    <t>アヒルさんチーム模擬試験</t>
  </si>
  <si>
    <t>承認申請を目的とした中間解析時のSDTMデータセットに関する検討</t>
  </si>
  <si>
    <t>レガシーデータコンバージョンチーム活動報告</t>
  </si>
  <si>
    <t>Introduction of PMDA eSubmission Form A and Form B</t>
  </si>
  <si>
    <t>SDTM Issueの事例収集_最終報告</t>
  </si>
  <si>
    <t>知らない人が作成したデータセットの取り扱い</t>
  </si>
  <si>
    <t>重複</t>
    <rPh sb="0" eb="2">
      <t>チョウフク</t>
    </rPh>
    <phoneticPr fontId="3"/>
  </si>
  <si>
    <t>Y</t>
    <phoneticPr fontId="3"/>
  </si>
  <si>
    <t>CJUG SDTM Pinnacle 21 validation team活動報告</t>
    <phoneticPr fontId="3"/>
  </si>
  <si>
    <r>
      <t>Summary_</t>
    </r>
    <r>
      <rPr>
        <b/>
        <sz val="9"/>
        <color theme="1"/>
        <rFont val="ＭＳ ゴシック"/>
        <family val="1"/>
        <charset val="128"/>
      </rPr>
      <t>複数ある場合に</t>
    </r>
    <r>
      <rPr>
        <b/>
        <sz val="9"/>
        <color theme="1"/>
        <rFont val="Century"/>
        <family val="1"/>
      </rPr>
      <t>1</t>
    </r>
    <r>
      <rPr>
        <b/>
        <sz val="9"/>
        <color theme="1"/>
        <rFont val="ＭＳ ゴシック"/>
        <family val="1"/>
        <charset val="128"/>
      </rPr>
      <t>つにまとめた</t>
    </r>
    <rPh sb="8" eb="10">
      <t>フクスウ</t>
    </rPh>
    <rPh sb="12" eb="14">
      <t>バアイ</t>
    </rPh>
    <phoneticPr fontId="3"/>
  </si>
  <si>
    <t>参照資料に記載する資料の説明</t>
    <rPh sb="0" eb="4">
      <t>サンショウシリョウ</t>
    </rPh>
    <rPh sb="5" eb="7">
      <t>キサイ</t>
    </rPh>
    <rPh sb="9" eb="11">
      <t>シリョウ</t>
    </rPh>
    <rPh sb="12" eb="14">
      <t>セツメイ</t>
    </rPh>
    <phoneticPr fontId="3"/>
  </si>
  <si>
    <t>How to manage of best practices for Controlled Terminology</t>
    <phoneticPr fontId="3"/>
  </si>
  <si>
    <t>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t>
    <rPh sb="64" eb="68">
      <t>カツドウホウコク</t>
    </rPh>
    <rPh sb="146" eb="147">
      <t>シメ</t>
    </rPh>
    <phoneticPr fontId="3"/>
  </si>
  <si>
    <t>アンケートの表示</t>
    <rPh sb="6" eb="8">
      <t>ヒョウジ</t>
    </rPh>
    <phoneticPr fontId="3"/>
  </si>
  <si>
    <t>Pinnacle21で困難なAPドメイン等の検証を、XQueryで直接行うプロセスを提示</t>
    <phoneticPr fontId="3"/>
  </si>
  <si>
    <t>延長試験のSDTM設計における課題を整理し、分割と統合の比較を通じて規制要件に耐える設計方針を提示</t>
    <rPh sb="15" eb="17">
      <t>カダイ</t>
    </rPh>
    <rPh sb="18" eb="20">
      <t>セイリ</t>
    </rPh>
    <rPh sb="31" eb="32">
      <t>ツウ</t>
    </rPh>
    <phoneticPr fontId="3"/>
  </si>
  <si>
    <t>TAUGの役割と構造、SDTMIGで扱えない疾患特有データの標準化・実装指針を提供</t>
    <rPh sb="8" eb="10">
      <t>コウゾウ</t>
    </rPh>
    <phoneticPr fontId="3"/>
  </si>
  <si>
    <t>SDTM/ADaMのメタデータ管理、特にCTのバージョン管理と統一戦略の方針を整理</t>
    <phoneticPr fontId="3"/>
  </si>
  <si>
    <t>Define-XMLやPMDAルールの不整合を整理し、最適なVLM設計を提示</t>
    <phoneticPr fontId="3"/>
  </si>
  <si>
    <t>組織横断でのCT管理プロセスや独自IDによる一貫管理のベストプラクティスを提示</t>
    <phoneticPr fontId="3"/>
  </si>
  <si>
    <t>SDTMとFDAの各検証ルールの差異を分析し、規制要件におけるValidationの本質を整理</t>
    <phoneticPr fontId="3"/>
  </si>
  <si>
    <t>RACEデータの定義、収集方法、CT制約、Pinnacle21との整合性など実務上の対応方針を整理</t>
    <rPh sb="11" eb="15">
      <t>シュウシュウホウホウ</t>
    </rPh>
    <phoneticPr fontId="3"/>
  </si>
  <si>
    <t>リソース制約下で品質を確保するための、効率的なSDTM QC戦略と手法を提示</t>
    <phoneticPr fontId="3"/>
  </si>
  <si>
    <t>SDTMデータに中央モニタリングや可視化ツール（Power BI）を活用し、安全性や試験進捗を分析する実践方法を報告</t>
    <rPh sb="8" eb="10">
      <t>チュウオウ</t>
    </rPh>
    <phoneticPr fontId="3"/>
  </si>
  <si>
    <t>試験進行後のTrial Design修正事例を通じ、設計・運用課題と対策を整理</t>
    <phoneticPr fontId="3"/>
  </si>
  <si>
    <t>模擬試験データに対して、Pinnacle21検証でのエラー分析・修正・SDRG用Issue Summary作成プロセスを整理</t>
    <rPh sb="0" eb="4">
      <t>モギシケン</t>
    </rPh>
    <rPh sb="8" eb="9">
      <t>タイ</t>
    </rPh>
    <phoneticPr fontId="3"/>
  </si>
  <si>
    <t>define.xml作成時のメタデータ整合性やバリデーション等の実務課題を整理</t>
    <phoneticPr fontId="3"/>
  </si>
  <si>
    <t>模擬試験に基づくSDRGの構成・記載方針・実務上の検討ポイントを整理</t>
    <phoneticPr fontId="3"/>
  </si>
  <si>
    <t>模擬試験を通じたSDTM作成からSDRG・define.xml等、全工程の課題を整理</t>
    <phoneticPr fontId="3"/>
  </si>
  <si>
    <t>中間解析データでの申請における、未確定データやカットオフ処理等の作成方針を整理</t>
    <phoneticPr fontId="3"/>
  </si>
  <si>
    <t>Legacy Data Conversionにおける実務課題（データ入手、辞書不明、単位不一致など）と対応策を整理</t>
    <phoneticPr fontId="3"/>
  </si>
  <si>
    <t>PMDAへの電子データ提出に必要なForm A/Bの役割・記載内容・プロセスを解説</t>
    <phoneticPr fontId="3"/>
  </si>
  <si>
    <t>Pinnacle21で検出不能なマッピングミス等の不備事例を収集し、原因と対策を整理</t>
    <phoneticPr fontId="3"/>
  </si>
  <si>
    <t>外部・過去作成のデータセットを調査し、当局提出可能な状態にする判断・対応法を体系化</t>
    <phoneticPr fontId="3"/>
  </si>
  <si>
    <t>資料名</t>
    <rPh sb="0" eb="3">
      <t>シリョウメイ</t>
    </rPh>
    <phoneticPr fontId="3"/>
  </si>
  <si>
    <t>Summary</t>
    <phoneticPr fontId="3"/>
  </si>
  <si>
    <t>利用目的</t>
    <rPh sb="0" eb="4">
      <t>リヨウモクテキ</t>
    </rPh>
    <phoneticPr fontId="3"/>
  </si>
  <si>
    <t>URL</t>
    <phoneticPr fontId="3"/>
  </si>
  <si>
    <t>分類</t>
    <rPh sb="0" eb="2">
      <t>ブンルイ</t>
    </rPh>
    <phoneticPr fontId="3"/>
  </si>
  <si>
    <t>2016-2017</t>
    <phoneticPr fontId="3"/>
  </si>
  <si>
    <t>2018-2019</t>
    <phoneticPr fontId="3"/>
  </si>
  <si>
    <t>2020-2026</t>
    <phoneticPr fontId="3"/>
  </si>
  <si>
    <t>作成年</t>
    <rPh sb="0" eb="3">
      <t>サクセイネン</t>
    </rPh>
    <phoneticPr fontId="3"/>
  </si>
  <si>
    <t>アンケートに記載する資料の説明（さらに要約）</t>
    <rPh sb="19" eb="21">
      <t>ヨウヤク</t>
    </rPh>
    <phoneticPr fontId="3"/>
  </si>
  <si>
    <t>052_2021_Form A Bの作成を含む申請準備業務の外部委託</t>
    <phoneticPr fontId="18"/>
  </si>
  <si>
    <t>別紙8_20201113.pdf</t>
    <phoneticPr fontId="18"/>
  </si>
  <si>
    <t>★★★</t>
    <phoneticPr fontId="18"/>
  </si>
  <si>
    <t>－</t>
    <phoneticPr fontId="18"/>
  </si>
  <si>
    <t>・Form A/B（別紙8）の作成方針検討
・外部委託の可否判断
・委託時の要件整理（範囲・品質・スケジュール）
・CROとの役割分担設計
・申請準備プロセスの最適化</t>
    <phoneticPr fontId="18"/>
  </si>
  <si>
    <t>Regulatory / Submission準備
✔Form A / Form B（別紙8/8-2）
✔申請電子データ関連文書一式
・SDTMパッケージ
・ADaMパッケージ
・Define.xml
・SDRG / ADRG
・TSVファイル
・PMDA提出関連資料</t>
    <phoneticPr fontId="18"/>
  </si>
  <si>
    <t>053_2024_CDISC標準初心者のための業務プロセス基礎資料</t>
    <phoneticPr fontId="18"/>
  </si>
  <si>
    <t>CDISC標準初心者のための業務プロセス基礎資料_ver 1.0.pdf</t>
    <phoneticPr fontId="18"/>
  </si>
  <si>
    <t>CDISC導入前提条件 / 標準・用語体系 / SDTM構築プロセス / ADaM構築プロセス / バリデーションと品質管理 / メタデータ管理（Define・RG） / 入出力関係と依存構造</t>
    <phoneticPr fontId="18"/>
  </si>
  <si>
    <r>
      <t xml:space="preserve">【概要】
CDISC標準（SDTM・ADaM）の業務全体フローと成果物・依存関係を体系化した入門資料。
特に「Raw → SDTM → ADaM → Submission」の実装プロセスと入出力関係を明確化している。
【実務課題】
① SDTM/ADaM作成プロセスの全体像が見えない
仕様書・プログラム・データ・Define・RGの関係が不明確
工程間の依存関係が理解できず手戻りが発生
② Validation対応の位置づけが曖昧
Define → SDTM → ADaMでの段階的Validation理解不足
Issue対応（Reject/Error）の判断ができない
③ Define.xml・SDRG/ADRGの位置づけ不足
データ説明責任の所在不明
Submission要件としての重要性が認識不足
④ SDTMとADaMの役割差の理解不足
SDTM：整形
ADaM：解析
→ 役割混同による設計ミス
【原因・背景】
① CDISCが“標準仕様”であり業務プロセスを規定していない
SDTM/ADaMは構造だけ定義
作成手順・依存関係は各組織任せ
② アウトプット中心理解（DefineやRG軽視）
データ作成に偏重
メタデータ・説明ドキュメントの理解不足
【解決アプローチ／示唆】
① Input → Process → Outputの流れで工程分解する
✓SDTM
Protocol / CRF / DB構造 → SDTM仕様書 → 作成プログラム → SDTMデータ → XPT変換 → Define.xml → Validation → SDRG
</t>
    </r>
    <r>
      <rPr>
        <sz val="6"/>
        <color rgb="FF000000"/>
        <rFont val="Segoe UI Symbol"/>
        <family val="3"/>
      </rPr>
      <t>👉</t>
    </r>
    <r>
      <rPr>
        <sz val="6"/>
        <color rgb="FF000000"/>
        <rFont val="ＭＳ ゴシック"/>
        <family val="3"/>
        <charset val="128"/>
      </rPr>
      <t xml:space="preserve"> Point：
どの工程で何を作るか明確化
入力依存を理解する
② Validationを“段階的プロセス”として設計する
Step1: Define単体Validation
Step2: SDTM + Define Validation
Step3: ADaM + SDTM + Define Validation
</t>
    </r>
    <r>
      <rPr>
        <sz val="6"/>
        <color rgb="FF000000"/>
        <rFont val="Segoe UI Symbol"/>
        <family val="3"/>
      </rPr>
      <t>👉</t>
    </r>
    <r>
      <rPr>
        <sz val="6"/>
        <color rgb="FF000000"/>
        <rFont val="ＭＳ ゴシック"/>
        <family val="3"/>
        <charset val="128"/>
      </rPr>
      <t xml:space="preserve"> Point：
Validationは最後ではなく“途中工程”
Issueは前工程に戻って修正
③ メタデータ（Define・RG）を中心に全体を組み立てる
Define.xml → データ構造の定義
SDRG / ADRG → データの説明
</t>
    </r>
    <r>
      <rPr>
        <sz val="6"/>
        <color rgb="FF000000"/>
        <rFont val="Segoe UI Symbol"/>
        <family val="3"/>
      </rPr>
      <t>👉</t>
    </r>
    <r>
      <rPr>
        <sz val="6"/>
        <color rgb="FF000000"/>
        <rFont val="ＭＳ ゴシック"/>
        <family val="3"/>
        <charset val="128"/>
      </rPr>
      <t xml:space="preserve"> Point：データそのものよりも説明可能性（traceability）を重視
④ SDTMとADaMの役割分離を明確にする
&lt;SDTM&gt;
目的：申請用整形 / インプット：Raw / アウトプット：XPT + SDRG
&lt;ADaM&gt;
目的：解析インプット / インプット：SDTM / アウトプット：XPT + ADRG + ARM
⑤ 成果物単位で作業を設計する
SDTM提出資料
SDTMデータ（XPT） / Define.xml / SDRG / aCRF
ADaM提出資料
ADaMデータ（XPT） / ADRG / ARM
</t>
    </r>
    <r>
      <rPr>
        <sz val="6"/>
        <color rgb="FF000000"/>
        <rFont val="Segoe UI Symbol"/>
        <family val="3"/>
      </rPr>
      <t>👉</t>
    </r>
    <r>
      <rPr>
        <sz val="6"/>
        <color rgb="FF000000"/>
        <rFont val="ＭＳ ゴシック"/>
        <family val="3"/>
        <charset val="128"/>
      </rPr>
      <t xml:space="preserve"> Point：作業ではなく成果物から逆算</t>
    </r>
    <phoneticPr fontId="18"/>
  </si>
  <si>
    <t>・CDISC標準導入の全体像理解
・SDTM/ADaM作成プロセスの把握
・初心者教育・オンボーディング
・業務プロセス設計（SOP作成含む）
・組織導入時の検討項目整理</t>
    <phoneticPr fontId="18"/>
  </si>
  <si>
    <t>✔ SDTM領域
・SDTMデータ（XPT）
・Define.xml
・SDRG（Study Data Reviewer’s Guide）
・aCRF
・バリデーションレポート
✔ ADaM領域
・ADaMデータ（XPT）
・ADRG
・ARM
・解析プログラム
・解析帳票</t>
    <phoneticPr fontId="18"/>
  </si>
  <si>
    <t>40-a</t>
    <phoneticPr fontId="18"/>
  </si>
  <si>
    <t>054_2024_cSDRG  記述方法Tips集_Version1.0</t>
    <phoneticPr fontId="18"/>
  </si>
  <si>
    <t>cSDRGとForm A統合構造 / Define.xmlとの記載分担 / Validation Issue記述ルール / Traceability設計とRG間分担 / aCRF例外記述方針 / Trial Design説明整理 / ドメイン概要とRELREC扱い / LDC管理とLDCP構造</t>
    <phoneticPr fontId="18"/>
  </si>
  <si>
    <r>
      <t xml:space="preserve">【概要】
cSDRG（Clinical SDRG）の具体的な記述方法・判断ポイント・Form Aとの対応関係を整理した実務Tips集。
Form A廃止後の「cSDRGでどこまで説明責任を持たせるか」を中心に構成された実践資料。
【実務課題】
① cSDRGとDefine.xml・Form Aの情報分担が不明確
コードリスト・辞書・バージョンをどこに書くか判断不可
重複・不整合が発生
② Validation Issueの説明粒度・記載方法が曖昧
Rule IDの扱い
Error/Warningの説明範囲
③ トレーサビリティ（Traceability）の記述設計不足
SDTM→ADaM→TFLの流れが不明確
ADRGとの役割分担不明
④ レガシーデータ（LDC）の説明場所・粒度の不統一
cSDRG vs LDCPの使い分け不明
変更内容・未解決Issueの整理不十分
【原因・背景】
① Form A廃止によりcSDRGに説明責任が集中
本来分散していた情報がcSDRGに集約
② ガイドラインはあるが“書き方”は規定されていない
PhUSEはテンプレのみ
実務判断が必要な領域が多い
【解決アプローチ／示唆】
①「どこに書くか」を明確にルール化する
コードリスト → 原則Define.xml
Define修正不可時 → cSDRGで説明
片側記載で整合コスト削減
</t>
    </r>
    <r>
      <rPr>
        <sz val="6"/>
        <color rgb="FF000000"/>
        <rFont val="Segoe UI Symbol"/>
        <family val="3"/>
      </rPr>
      <t>👉</t>
    </r>
    <r>
      <rPr>
        <sz val="6"/>
        <color rgb="FF000000"/>
        <rFont val="ＭＳ ゴシック"/>
        <family val="3"/>
        <charset val="128"/>
      </rPr>
      <t xml:space="preserve"> Point：Define優先 / cSDRGは例外対応
② ValidationはRule ID＋最小限説明に標準化する
Rule ID記載は必須
詳細説明は“理解可能レベル”でOK
</t>
    </r>
    <r>
      <rPr>
        <sz val="6"/>
        <color rgb="FF000000"/>
        <rFont val="Segoe UI Symbol"/>
        <family val="3"/>
      </rPr>
      <t>👉</t>
    </r>
    <r>
      <rPr>
        <sz val="6"/>
        <color rgb="FF000000"/>
        <rFont val="ＭＳ ゴシック"/>
        <family val="3"/>
        <charset val="128"/>
      </rPr>
      <t xml:space="preserve"> Point：
詳細すぎる説明は不要
ただし識別可能性は必須
③ Traceabilityを“レビュー視点”で設計する
SDTM単体ではなくADaM/TFLまで含めた流れを記載
ADRGとの重複／分担を意識
</t>
    </r>
    <r>
      <rPr>
        <sz val="6"/>
        <color rgb="FF000000"/>
        <rFont val="Segoe UI Symbol"/>
        <family val="3"/>
      </rPr>
      <t>👉</t>
    </r>
    <r>
      <rPr>
        <sz val="6"/>
        <color rgb="FF000000"/>
        <rFont val="ＭＳ ゴシック"/>
        <family val="3"/>
        <charset val="128"/>
      </rPr>
      <t xml:space="preserve"> Point：どこに書くかではなく「レビュアーが理解できるか」
④ LDCPでLDCを分離管理する
変換内容 → LDCP
未解決Issue → LDCP 5章
解決済Issue → LDCP 3.1
</t>
    </r>
    <r>
      <rPr>
        <sz val="6"/>
        <color rgb="FF000000"/>
        <rFont val="Segoe UI Symbol"/>
        <family val="3"/>
      </rPr>
      <t>👉</t>
    </r>
    <r>
      <rPr>
        <sz val="6"/>
        <color rgb="FF000000"/>
        <rFont val="ＭＳ ゴシック"/>
        <family val="3"/>
        <charset val="128"/>
      </rPr>
      <t xml:space="preserve"> Point：LDCはcSDRGに詰め込まない
⑤ Form A相当情報をcSDRGで網羅する設計
Trial Design
ドメイン一覧
Validation情報
aCRF
→ cSDRGで完全カバー可能</t>
    </r>
    <phoneticPr fontId="18"/>
  </si>
  <si>
    <t>・cSDRGに何をどこまで記載するかを判断するときに使用
・Define.xmlとの情報分担を設計するときに使用
・Validation Issueの説明レベルを決めるときに使用
・Traceability（SDTM→ADaM→TFL）の記述範囲を判断するときに使用
・レガシーデータ対応（LDCP作成有無・記載粒度）を判断するときに使用</t>
    <phoneticPr fontId="18"/>
  </si>
  <si>
    <t>(対象成果物)
SDTM / Define.xml / SDRG / ADRG
(ドメイン)
TA / TE / TI / TS / TV / SV / RELREC / AE</t>
    <phoneticPr fontId="18"/>
  </si>
  <si>
    <t>40-b</t>
    <phoneticPr fontId="18"/>
  </si>
  <si>
    <t>いまさら3.3_sdrg_ver.1対応スライド.pptx</t>
    <phoneticPr fontId="18"/>
  </si>
  <si>
    <t>★★</t>
    <phoneticPr fontId="18"/>
  </si>
  <si>
    <t>cSDRGとForm A統合背景 / Version更新影響（SDTMIG・Define） / 記述方針の統一思想 / Trial Design記述方針 / Traceability設計指針 / ドメイン記述ルール / Validation記載簡素化 / LDCPの役割分離</t>
    <phoneticPr fontId="18"/>
  </si>
  <si>
    <t>cSDRG Tips集の作成背景・設計思想・判断理由を解説した説明スライド。特にForm A廃止後のcSDRG中心設計と、記述簡素化・統合方針が主題。</t>
    <phoneticPr fontId="18"/>
  </si>
  <si>
    <t>・cSDRGをForm A代替として設計するか判断するときに使用
・どの記載を削減できるか判断するときに使用
・TraceabilityにADaMを含める範囲を決めるときに使用
・Validation Issue説明の粒度を決めるときに使用</t>
    <phoneticPr fontId="18"/>
  </si>
  <si>
    <t>41-a</t>
    <phoneticPr fontId="18"/>
  </si>
  <si>
    <t>055_2025_cSDRG_記述方法Tips集_ver2.0</t>
    <phoneticPr fontId="18"/>
  </si>
  <si>
    <t>cSDRG  記述方法Tips集_Version2.0.pdf</t>
    <phoneticPr fontId="18"/>
  </si>
  <si>
    <t>★★★</t>
    <phoneticPr fontId="18"/>
  </si>
  <si>
    <t>PMDA通知対応方針 / Define.xml連携管理 / 日本語データ・翻訳管理 / Trial Design説明設計 / Traceability設計ルール / ドメイン別説明責任 / Validation対応方針 / Legacy Data管理</t>
    <phoneticPr fontId="18"/>
  </si>
  <si>
    <t>・PMDA通知要求事項をcSDRGへ反映するときに使用
・Define.xmlとcSDRGの記載分担を判断するときに使用
・日本語データや翻訳データの説明方法を決定するときに使用
・PC-PPトレーサビリティやRELREC説明方法を決定するときに使用
・Legacy Data Conversion時のLDCP構成を判断するときに使用</t>
    <phoneticPr fontId="18"/>
  </si>
  <si>
    <t>（対象成果物）
SDTM / Define.xml / SDRG / ADRG 
（ドメイン）
DM / SUPPDM / PC / PP / RELREC / LB / SV / TS</t>
    <phoneticPr fontId="18"/>
  </si>
  <si>
    <t>41-b</t>
    <phoneticPr fontId="18"/>
  </si>
  <si>
    <t>いまさら3.3_sdrg_ver.2対応スライド.pptx</t>
    <phoneticPr fontId="18"/>
  </si>
  <si>
    <t>★★</t>
    <phoneticPr fontId="18"/>
  </si>
  <si>
    <t>PMDA通知対応背景 / 通知要求事項抽出手法 / cSDRG記載範囲拡張 / 日本語データ対応方針 / 標準バージョン管理 / 中間解析データ説明 / SUPP・RELREC説明責任 / SI単位・独自コード対応</t>
    <phoneticPr fontId="18"/>
  </si>
  <si>
    <t>cSDRG記述方法Tips集 Version2.0 の作成経緯と追加内容を解説した説明スライド。Version1.0で扱ったForm A対応に加え、PMDA技術的ガイド、申請電子データ通知、Q&amp;A、FAQで要求されるcSDRG記載事項を整理し、Version2.0で追加したポイントを説明している。</t>
    <phoneticPr fontId="18"/>
  </si>
  <si>
    <t>・PMDA技術的ガイドの要求事項をcSDRGへ反映するか判断するときに使用
・日本語データや翻訳データの説明方法を決定するときに使用
・統合解析時のCDISCバージョン差異の説明要否を判断するときに使用
・SUPPやRELRECの説明責任を整理するときに使用
・中間解析データや追加提出データの説明方針を決定するときに使用</t>
    <phoneticPr fontId="18"/>
  </si>
  <si>
    <t>（対象成果物）
SDTM / Define.xml / SDRG / ADRG
（ドメイン）
DM / SUPPDM / PC / PP / RELREC / TS / LB / SV</t>
    <phoneticPr fontId="18"/>
  </si>
  <si>
    <t>FDAに提出したSDTMをPMDAに提出するためのTips集.pdf</t>
    <phoneticPr fontId="18"/>
  </si>
  <si>
    <t>PMDA移行戦略 / Validation対応方針 / 非ASCII文字管理 / RELREC・PCPP対応 / SI単位変換運用 / ベースラインフラグ判断 / SDTMIGバージョン差異対応 / define.xml変換管理</t>
    <phoneticPr fontId="18"/>
  </si>
  <si>
    <t>・FDA提出済みSDTMをPMDA提出用へ変換するか判断するときに使用
・Validation Errorを修正するかLDCP説明とするか判断するときに使用
・RELRECやPC-PPトレーサビリティの実装方法を決定するときに使用
・SDTMIGバージョン差異への対応方針を決定するときに使用
・define.xml修正範囲と整合確認方針を決定するときに使用</t>
    <phoneticPr fontId="18"/>
  </si>
  <si>
    <t>（対象成果物）
SDTM / Define.xml / SDRG / ADRG
（ドメイン）
PC / PP / RELREC / LB / DM / SV / SUPPLB / SUPPD</t>
    <phoneticPr fontId="18"/>
  </si>
  <si>
    <t>40-a</t>
  </si>
  <si>
    <t>41-a</t>
  </si>
  <si>
    <t>056_2026_FDAに提出したSDTMをPMDAに提出するためのTips集</t>
    <phoneticPr fontId="3"/>
  </si>
  <si>
    <t>056_2026_FDAに提出したSDTMをPMDAに提出するためのTips集</t>
    <phoneticPr fontId="3"/>
  </si>
  <si>
    <t>052_2021_Form A Bの作成を含む申請準備業務の外部委託</t>
    <phoneticPr fontId="3"/>
  </si>
  <si>
    <t>Form A Bの作成を含む申請準備業務の外部委託</t>
  </si>
  <si>
    <t>別紙8_20201113.pdf</t>
    <phoneticPr fontId="3"/>
  </si>
  <si>
    <t>CDISC標準初心者のための業務プロセス基礎資料</t>
  </si>
  <si>
    <t>FDAに提出したSDTMをPMDAに提出するためのTips集</t>
  </si>
  <si>
    <t>cSDRG  記述方法Tips集_Version2.0</t>
  </si>
  <si>
    <t>CDISC標準初心者のための業務プロセス基礎資料_ver 1.0.pdf</t>
    <phoneticPr fontId="3"/>
  </si>
  <si>
    <t>cSDRG  記述方法Tips集_Version1.0.pdf</t>
    <phoneticPr fontId="18"/>
  </si>
  <si>
    <t>cSDRG  記述方法Tips集_Version1.0.pdf</t>
    <phoneticPr fontId="3"/>
  </si>
  <si>
    <t>053_2024_CDISC標準初心者のための業務プロセス基礎資料</t>
    <phoneticPr fontId="3"/>
  </si>
  <si>
    <t>cSDRG  記述方法Tips集_Version1.0</t>
  </si>
  <si>
    <t>FDAに提出したSDTMをPMDAに提出するためのTips集.pdf</t>
    <phoneticPr fontId="3"/>
  </si>
  <si>
    <t>054_2024_cSDRG  記述方法Tips集_Version1.0</t>
    <phoneticPr fontId="3"/>
  </si>
  <si>
    <t>CDISC導入前提条件 / 標準・用語体系 / SDTM構築プロセス / ADaM構築プロセス / バリデーションと品質管理 / メタデータ管理（Define・RG） / 入出力関係と依存構造</t>
  </si>
  <si>
    <t>cSDRGとForm A統合構造 / Define.xmlとの記載分担 / Validation Issue記述ルール / Traceability設計とRG間分担 / aCRF例外記述方針 / Trial Design説明整理 / ドメイン概要とRELREC扱い / LDC管理とLDCP構造</t>
  </si>
  <si>
    <t>PMDA通知対応方針 / Define.xml連携管理 / 日本語データ・翻訳管理 / Trial Design説明設計 / Traceability設計ルール / ドメイン別説明責任 / Validation対応方針 / Legacy Data管理</t>
  </si>
  <si>
    <t>PMDA移行戦略 / Validation対応方針 / 非ASCII文字管理 / RELREC・PCPP対応 / SI単位変換運用 / ベースラインフラグ判断 / SDTMIGバージョン差異対応 / define.xml変換管理</t>
  </si>
  <si>
    <t>CDISC標準（SDTM・ADaM）の業務全体フローと成果物・依存関係を体系化した入門資料。
特に「Raw → SDTM → ADaM → Submission」の実装プロセスと入出力関係を明確化している。</t>
    <phoneticPr fontId="3"/>
  </si>
  <si>
    <r>
      <t xml:space="preserve">【概要】
Form A/B（別紙8）作成および申請準備業務の外部委託の実態・課題・ベストプラクティスをアンケート結果から整理した資料。
【資料の要点】
① 外部委託の実態
✔ スポンサー側
約1/3が外部委託経験あり、2/3は自社作成
✔ CRO側
約85%がサービス提供可能
</t>
    </r>
    <r>
      <rPr>
        <sz val="6"/>
        <color rgb="FF000000"/>
        <rFont val="Segoe UI Symbol"/>
        <family val="3"/>
      </rPr>
      <t>👉</t>
    </r>
    <r>
      <rPr>
        <sz val="6"/>
        <color rgb="FF000000"/>
        <rFont val="ＭＳ ゴシック"/>
        <family val="3"/>
        <charset val="128"/>
      </rPr>
      <t xml:space="preserve"> Point：委託は可能だが主流ではない
② 外部委託する理由（重要）
リソース不足 / ノウハウ不足 / DM/STATごと委託
</t>
    </r>
    <r>
      <rPr>
        <sz val="6"/>
        <color rgb="FF000000"/>
        <rFont val="Segoe UI Symbol"/>
        <family val="3"/>
      </rPr>
      <t>👉</t>
    </r>
    <r>
      <rPr>
        <sz val="6"/>
        <color rgb="FF000000"/>
        <rFont val="ＭＳ ゴシック"/>
        <family val="3"/>
        <charset val="128"/>
      </rPr>
      <t xml:space="preserve"> Point：人手・経験不足対策として委託
③ 委託しない理由（超重要）
申請方針に直結する / 最終確認は自社 / 小回りが利かない
</t>
    </r>
    <r>
      <rPr>
        <sz val="6"/>
        <color rgb="FF000000"/>
        <rFont val="Segoe UI Symbol"/>
        <family val="3"/>
      </rPr>
      <t>👉</t>
    </r>
    <r>
      <rPr>
        <sz val="6"/>
        <color rgb="FF000000"/>
        <rFont val="ＭＳ ゴシック"/>
        <family val="3"/>
        <charset val="128"/>
      </rPr>
      <t xml:space="preserve"> Point：外注しても、Form Aの作成責任は移らない
④ 依頼される資料（重要）
主に以下：
SDTMデータ + define + SDRG / ADaM / Rawデータ / Protocol / SAP / CSR
⑤ 委託タイミング（超重要）
3〜4ヶ月前が最低ライン
</t>
    </r>
    <r>
      <rPr>
        <sz val="6"/>
        <color rgb="FF000000"/>
        <rFont val="Segoe UI Symbol"/>
        <family val="3"/>
      </rPr>
      <t>👉</t>
    </r>
    <r>
      <rPr>
        <sz val="6"/>
        <color rgb="FF000000"/>
        <rFont val="ＭＳ ゴシック"/>
        <family val="3"/>
        <charset val="128"/>
      </rPr>
      <t xml:space="preserve"> Point：直前では間に合わない
⑥ 実際の業務範囲（重要）
委託内容は主に以下：
Form A作成 / PMDA面談サポート / Validation対応 / 修正対応
</t>
    </r>
    <r>
      <rPr>
        <sz val="6"/>
        <color rgb="FF000000"/>
        <rFont val="Segoe UI Symbol"/>
        <family val="3"/>
      </rPr>
      <t>👉</t>
    </r>
    <r>
      <rPr>
        <sz val="6"/>
        <color rgb="FF000000"/>
        <rFont val="ＭＳ ゴシック"/>
        <family val="3"/>
        <charset val="128"/>
      </rPr>
      <t xml:space="preserve">単なる文書作成ではない
⑦ よく起こる問題（超重要）
a) レガシー問題 → CSR再現できない
b) Validation対応 → Error解釈で不一致
c) バージョン不整合  → define vs CSR
⑧ 最重要注意点
資料で以下の点を明確化：
業務範囲 / 品質レベル / 指示の明確化 / データとの整合
</t>
    </r>
    <r>
      <rPr>
        <sz val="6"/>
        <color rgb="FF000000"/>
        <rFont val="Segoe UI Symbol"/>
        <family val="3"/>
      </rPr>
      <t>👉</t>
    </r>
    <r>
      <rPr>
        <sz val="6"/>
        <color rgb="FF000000"/>
        <rFont val="ＭＳ ゴシック"/>
        <family val="3"/>
        <charset val="128"/>
      </rPr>
      <t xml:space="preserve"> Point：曖昧が最大の敵
⑨ スポンサー vs CROのギャップ（超重要）
✔ スポンサー視点
CROが気づいてくれるはず / 言わなくても分かるはず
✔ CRO視点
指示されてないことはやらない / 曖昧はそのまま
</t>
    </r>
    <r>
      <rPr>
        <sz val="6"/>
        <color rgb="FF000000"/>
        <rFont val="Segoe UI Symbol"/>
        <family val="3"/>
      </rPr>
      <t>👉</t>
    </r>
    <r>
      <rPr>
        <sz val="6"/>
        <color rgb="FF000000"/>
        <rFont val="ＭＳ ゴシック"/>
        <family val="3"/>
        <charset val="128"/>
      </rPr>
      <t xml:space="preserve"> Point：期待のミスマッチ
⑩ トラブルの本質（最重要）
意識差 / 常識差 / 認識差
</t>
    </r>
    <r>
      <rPr>
        <sz val="6"/>
        <color rgb="FF000000"/>
        <rFont val="Segoe UI Symbol"/>
        <family val="3"/>
      </rPr>
      <t>👉</t>
    </r>
    <r>
      <rPr>
        <sz val="6"/>
        <color rgb="FF000000"/>
        <rFont val="ＭＳ ゴシック"/>
        <family val="3"/>
        <charset val="128"/>
      </rPr>
      <t>コミュニケーションの問題</t>
    </r>
    <phoneticPr fontId="18"/>
  </si>
  <si>
    <t>Form A/B（別紙8）作成および申請準備業務の外部委託の実態・課題・ベストプラクティスをアンケート結果から整理した資料。</t>
    <phoneticPr fontId="3"/>
  </si>
  <si>
    <t>cSDRG（Clinical SDRG）の具体的な記述方法・判断ポイント・Form Aとの対応関係を整理した実務Tips集。
Form A廃止後の「cSDRGでどこまで説明責任を持たせるか」を中心に構成された実践資料。</t>
    <phoneticPr fontId="3"/>
  </si>
  <si>
    <t>【概要】
Form A対応を主目的としていたVersion1.0を拡張し、PMDA技術的ガイド、申請電子データ通知、FAQ要求事項まで含めてcSDRG記載方法を整理した実務ガイド。単なるテンプレート解説ではなく、「どの情報をどこで説明するか」を規定している。 
【実務課題】
① PMDA通知で要求される以下の情報の記載場所が不明確
日本語データの扱い / 翻訳実施内容 / 文字コード / 統制用語バージョン差異
② Define.xmlとcSDRGの責任分担が不明確
Define.xmlに書くべきか、cSDRGに書くべきか、以下の項目について判断が分かれる
拡張コードリスト / カスタムCT / 日本語変数説明
③ 特殊実装の説明不足
レビュー時に以下の項目について理解されにくい
PC-PPトレーサビリティ / SUPP利用理由 / SI単位変換 / 独自薬剤コード利用 / Legacy Data Conversion
【原因・背景】
① Form A廃止後の説明責任集中
Form Aが廃止された結果、従来Form Aで説明していた情報もcSDRGへ含める必要が生じた。
② PMDA要求事項の増加
Version2.0では技術的ガイド、申請電子データ通知、Q&amp;A、FAQへの対応が追加目的として明示されている。
【解決アプローチ／示唆】
① PMDA通知をcSDRG構造へマッピングする
Character Set / Encoding / 日本語項目 / 翻訳実施 / CT差異 / 統合解析時のVersion差異
② Define.xml優先原則を採用する（＝整合確認負荷を削減）
拡張コードリストは原則Define.xml / Define変更不可の場合のみcSDRG説明
③ Subject Domain説明責任を強化する
以下は3.4.xで説明する
Custom Domain利用理由 / FA利用理由 / RELREC関係 / PC-PP作成方法 / SI単位変換方法 / 独自薬剤コード利用理由 / SUPP利用理由
④ Validation説明ルールを統一する
Rule ID記載 / Validation Version記載 / CTバージョン差異説明 / 残課題説明
⑤ LDCPとの役割分離を明確化する
以下の項を章ごとに整理し、ADRGとの整合も確保する
Conversion Flow / Traceability Flow / 解決済Issue / 未解決Issue</t>
    <phoneticPr fontId="18"/>
  </si>
  <si>
    <t>【概要】
FDA提出済みのSDTMパッケージをPMDA提出用へ変換する際に発生する実務課題と対応方法を整理したTips集。単なるcSDRGの話ではなく、SDTM、define.xml、cSDRG、LDCPを含むFDA→PMDA移行設計全体を対象としている。
【実務課題】
① FDA提出データをどこまで修正すべきか
FDA版データをPMDAルールで検証するとValidation Issueが発生するため、以下の判断が必要
Rejectは修正すべきか / Errorは修正すべきか / SDTMだけ修正するか / ADaMまで修正するか
② PMDA特有要求への対応
FDA版では問題ないがPMDAでは要求される事項が存在するため、以下への対応判断が必要
非ASCII文字 / RELRECによるPC-PP説明 / SI単位 / PMDA Validation Rule
③ FDAとPMDAで受入標準が異なる場合の対応
以下の差異が発生した場合、データ修正か説明対応かを決める必要
SDTMIGバージョン差異 / PMDA未対応標準 / PMDA未対応変数
【原因・背景】
① FDAとPMDAの要求事項差異
同じSDTMでも以下の事項が異なる。
Validation Rule / SI単位要求 / PC-PP説明方法 / 文字コード要件
② トレーサビリティ維持の必要性
SDTM修正は他に波及する可能性があり、単純修正では整合性が失われる可能性がある。
ADaM / TFL / CSR
【解決アプローチ／示唆】
① 修正よりトレーサビリティ維持を優先
基本方針は以下：
Rejectは修正 / Errorはケース判断 / 修正でトレーサビリティが失われるならLDCP説明も選択肢
② PMDA特有要求の以下の事項を重点確認
非ASCII文字 / RELREC / SI単位 / ベースラインフラグ
✓特にRELRECがないPC-PP関係については以下の対応を併せて検討
RELREC作成 / cSDRG説明 / Phoenix Projectファイル提出
③ Errorを無理に解消しない選択肢の検討
導入元の情報不足やCSR整合性維持のため以下の対応の選択を検討
Error残存 / LDCP説明
④ SDTMIG差異の対応準備
PMDA受入版より新しいSDTMIGを利用している場合はいずれかで対応
SUPP化 / Custom Domain扱い / cSDRG説明
⑤ define.xmlの同時管理
SDTM修正時は以下の対応も併せて行う
define.xml修正 / 非ASCII文字整合 / バージョン記載整合</t>
    <phoneticPr fontId="18"/>
  </si>
  <si>
    <t>Form A/B作成および申請準備業務の外部委託実態・課題分析</t>
    <phoneticPr fontId="3"/>
  </si>
  <si>
    <t>CDISC標準（SDTM・ADaM）業務における成果物と依存関係の体系整理</t>
    <phoneticPr fontId="3"/>
  </si>
  <si>
    <t>cSDRGの記載方法・判断ポイントおよびForm Aとの対応整理</t>
    <phoneticPr fontId="3"/>
  </si>
  <si>
    <t>cSDRGの記載方法とPMDA要求事項・Form A対応の実務整理</t>
    <phoneticPr fontId="3"/>
  </si>
  <si>
    <t>FDA提出済みSDTMパッケージのPMDA提出対応における実務課題と対応整理</t>
    <phoneticPr fontId="3"/>
  </si>
  <si>
    <t>・Form A/B作成方針の検討
・外部委託の実施判断
・委託範囲・品質・スケジュール要件整理
・CROとの役割分担設計
・申請準備プロセスの最適化検討</t>
    <phoneticPr fontId="3"/>
  </si>
  <si>
    <t>・CDISC標準導入の全体像把握
・SDTM/ADaM作成プロセスの理解
・初心者教育・オンボーディング対応
・業務プロセス・SOP設計
・CDISC標準導入時の検討項目整理</t>
    <phoneticPr fontId="3"/>
  </si>
  <si>
    <t>・cSDRGの記載内容・記載粒度の判断
・cSDRGとDefine.xmlの役割分担設計
・Validation Issueの説明方針・記載レベル判断
・Traceabilityの記述範囲・記載粒度判断
・レガシーデータ対応方針・LDCP作成要否判断</t>
    <phoneticPr fontId="3"/>
  </si>
  <si>
    <t>・PMDA要求事項のcSDRGへの反映方針整理
・Define.xmlとcSDRGの記載分担判断
・日本語データ・翻訳データの説明方法整理
・PC-PPトレーサビリティおよびRELRECの説明方法整理
・Legacy Data Conversion時のLDCP構成判断</t>
    <phoneticPr fontId="3"/>
  </si>
  <si>
    <t>・FDA提出済みSDTMのPMDA提出対応方針の判断
・ Validation Errorの修正・LDCP対応方針判断
・RELRECおよびPC-PPトレーサビリティの実装方針整理
・SDTMIGバージョン差異への対応方針整理
・define.xml修正範囲と整合性確認方針の整理</t>
    <phoneticPr fontId="3"/>
  </si>
  <si>
    <t>PhUSE Q&amp;A</t>
  </si>
  <si>
    <t>CDISC Standards Japanese Translation Activities Updates</t>
  </si>
  <si>
    <t>TAUG Cancer Team Report</t>
  </si>
  <si>
    <t>Trial Design Datasets Programチーム活動報告</t>
  </si>
  <si>
    <t>Rチーム活動報告</t>
  </si>
  <si>
    <t>Custom Domainチーム活動報告</t>
  </si>
  <si>
    <t>AIチーム報告</t>
  </si>
  <si>
    <t>cSDRG_記述方法Tips集_ver2.0</t>
  </si>
  <si>
    <t>TAUG（乳がん）の4.2章「腫瘍識別・評価・反応」に特化し、TU/TR/RSドメインの使い分け、PRドメインとの関係、RELRECによるリンク、および非標準変数（PRTYP等）の実装方法を具体例で示した資料。</t>
    <phoneticPr fontId="3"/>
  </si>
  <si>
    <t>TAUG（乳がん）の具体的実装内容（特に3章・4章）を日本語で整理し、腫瘍データモデリング（TU/TR/RS）、病理データ、前治療、NSV設計などの実例を示した資料。</t>
    <phoneticPr fontId="3"/>
  </si>
  <si>
    <t>Trial Design Dataset（TA/TE/TI/TS/TV）の仕様作成、SASプログラムによるデータ生成、Pinnacle21によるValidation、およびその設計方針と課題を整理した活動報告。</t>
    <phoneticPr fontId="3"/>
  </si>
  <si>
    <t>SDTMデータをRで取り込み、加工・可視化・レポート作成・バージョン管理までを一貫して実施する方法を整理し、データマネジメント業務の効率化・再現性向上を目的とした実践的なワークショップ資料。</t>
    <phoneticPr fontId="3"/>
  </si>
  <si>
    <t>Custom Domainの作成経験、使用領域、運用体制（SOP・組織・テンプレート）などについて、業界内の実態をアンケート形式で整理した資料。</t>
    <phoneticPr fontId="3"/>
  </si>
  <si>
    <t>SDTMを入力データとして中央モニタリング（RBM）を実施し、可視化ツール（Power BI）を用いて安全性や試験進捗を分析することで、SDTMを日常業務に活用する方法を示した実践的な活動報告。</t>
    <phoneticPr fontId="3"/>
  </si>
  <si>
    <t>PhUSE運営・国際展開方針およびSDTM実務Q&amp;A整理</t>
    <phoneticPr fontId="3"/>
  </si>
  <si>
    <t>PhUSEにおける運営・国際展開・言語方針および、SDTM実務に関わるQ&amp;A（PPドメイン、提出文書等）を整理した資料。標準仕様外の実務判断に関する補足知見を提供する。</t>
    <phoneticPr fontId="3"/>
  </si>
  <si>
    <t>【概要】
PhUSEにおける運営・国際展開・言語方針および、SDTM実務に関わるQ&amp;A（PPドメイン、提出文書等）を整理した資料。標準仕様外の実務判断に関する補足知見を提供する。
【実務課題】
① 英語以外のデータ・文書を翻訳して使用した場合、意味のズレが発生する
② PPドメインをSDTMで作成するか（取得データ vs 計算データ）判断が分かれる
③ 国際共同作業（WG）において言語・参加形態の違いが運用障壁となる
【原因・背景】
① CDISC標準では言語運用やデータ生成プロセスの扱いが明確に定義されていない
② データの生成方法（外部取得データ or 解析時生成）によりデータの位置付けが変わる
【解決アプローチ／示唆】
① データ収集・運用は英語ベースで行い、翻訳依存を最小化する
② PPドメインは可能であれば作成する方針とし、データ取得方法に応じて判断する
③ 国際WGは多国籍参加前提で設計し、共通言語（英語）で運用する</t>
    <phoneticPr fontId="3"/>
  </si>
  <si>
    <t>【概要】
CDISC標準の日本語翻訳に関するプロセス（COP007）および、翻訳品質・レビュー体制・実務課題を整理した資料。翻訳がSDTM実装や提出文書に与える影響とその管理方法を示している。
【実務課題】
① 翻訳の揺れにより、SDTM仕様書・Define.xml・SDRG間で用語不一致が発生する
② 英語原文の曖昧さが翻訳によって固定され、誤った解釈で実装される
③ 翻訳品質やレビュー不足により標準解釈のズレが生じる
【原因・背景】
① CDISC標準は英語原文が正本であり、翻訳は補助的な位置付けである
② 翻訳作業に解釈判断が含まれ、担当者間で統一されない
【解決アプローチ／示唆】
① COP007に基づく翻訳プロセス（作成・レビュー・統一）を適用する
② J3Cによるレビュー体制で用語統一と品質管理を行う
③ 設計判断は英語原文を優先し、翻訳への依存を最小化する</t>
    <phoneticPr fontId="3"/>
  </si>
  <si>
    <t>Legacy Data Conversion（旧試験データのSDTM変換）における課題・対応方針・TIPSを整理した活動報告。</t>
    <phoneticPr fontId="3"/>
  </si>
  <si>
    <t>CDISC標準の日本語翻訳に関するプロセス（COP007）および、翻訳品質・レビュー体制・実務課題を整理した資料。</t>
    <phoneticPr fontId="3"/>
  </si>
  <si>
    <t>cSDRG Tips集の作成背景・設計思想・判断理由を解説した説明スライド。</t>
    <phoneticPr fontId="3"/>
  </si>
  <si>
    <t>cSDRG記述方法Tips集 Version2.0 の作成経緯と追加内容を解説した説明スライド。</t>
    <phoneticPr fontId="3"/>
  </si>
  <si>
    <t>FDA提出済みのSDTMパッケージをPMDA提出用へ変換する際に発生する実務課題と対応方法を整理したTips集。単なるcSDRGの話ではなく、SDTM、define.xml、cSDRG、LDCPを含むFDA→PMDA移行設計全体を対象としている。</t>
    <phoneticPr fontId="3"/>
  </si>
  <si>
    <t xml:space="preserve">Form A対応を主目的としていたVersion1.0を拡張し、PMDA技術的ガイド、申請電子データ通知、FAQ要求事項まで含めてcSDRG記載方法を整理した実務ガイド。単なるテンプレート解説ではなく、「どの情報をどこで説明するか」を規定している。 </t>
    <phoneticPr fontId="3"/>
  </si>
  <si>
    <t>CDISC標準の日本語翻訳プロセスおよび翻訳品質・レビュー体制の実務課題整理</t>
    <phoneticPr fontId="3"/>
  </si>
  <si>
    <t>乳がんTAUGにおける腫瘍データモデリングおよび病理・前治療データ実装整理</t>
    <phoneticPr fontId="3"/>
  </si>
  <si>
    <t>Trial Design Dataset（TA/TE/TI/TS/TV）の仕様作成・データ生成・Validation実施における設計方針と課題整理</t>
    <phoneticPr fontId="3"/>
  </si>
  <si>
    <t>SDTMデータのR活用による加工・可視化・レポート作成およびデータ管理業務効率化の実践整理</t>
    <phoneticPr fontId="3"/>
  </si>
  <si>
    <t>Custom Domainの作成実態・活用領域および運用体制に関する実態調査</t>
    <phoneticPr fontId="3"/>
  </si>
  <si>
    <t>・PPドメインをSDTMで作成するかどうかを判断するときに使用
・英語以外のデータや文書を扱う際の運用方針を決めるときに使用
・標準に記載されていない実務運用（言語・WG）の方針を検討するときに使用</t>
  </si>
  <si>
    <t>SDTM / ADaM / SDRG / ADRG
（ドメイン）
PP</t>
  </si>
  <si>
    <t xml:space="preserve">・日本語仕様書とDefine.xml／SDRGの用語不一致が発生したときに判断するときに使用
・翻訳ベースで設計してよいかを判断するときに使用
・レビュー指摘（用語解釈差）の原因分析を行うときに使用
・翻訳利用時のリスク（解釈ズレ）を評価するときに使用
</t>
  </si>
  <si>
    <t>SDTM / Define.xml / SDRG / ADRG
（ドメイン）
LB（TEST/TESTCD解釈）
VS（TEST/TESTCD解釈）
QS（用語解釈）</t>
  </si>
  <si>
    <t>・腫瘍データをTU/TR/RSにどう分けるか判断するときに使用
・RELRECやREFIDによるドメイン間リンク設計をするときに使用
・前治療（Regimen）をCMでどう表現するか検討するときに使用
・NSVをどの粒度で追加するか判断するときに使用
・Oncology領域の実装例を調べるときに使用</t>
  </si>
  <si>
    <t>SDTM / Define.xml / SDRG
（ドメイン）
TU / TR / RS / PR / CM / MI</t>
  </si>
  <si>
    <t>・TU/TR/RSの切り分けで迷ったときに使用
・腫瘍データをどのドメインに配置するか判断するときに使用
・PRドメインとTU/TRの関係を設計するときに使用
・RELREC／REFIDの設計方針を決めるときに使用
・RECISTベースのデータ構造を設計するときに使用</t>
  </si>
  <si>
    <t>SDTM / Define.xml
（ドメイン）
TU / TR / RS / PR</t>
  </si>
  <si>
    <t>・Trial Design Dataset（TA/TE/TI/TS/TV）を実装するときに使用
・Spec設計（どこまで書くか）の判断に使用
・SASプログラム設計（再利用性・変更耐性）に使用
・P21 Validationエラーの解釈に使用
・TSドメインのCTエラー対応方針検討に使用</t>
  </si>
  <si>
    <t>SDTM / Define.xml / P21 Validation
（ドメイン）
TA / TE / TI / TS / TV</t>
  </si>
  <si>
    <t>・SDTMデータをRで扱うときに使用
・データレビュー／可視化設計
・レポート自動生成（再現性確保）
・DM業務の効率化検討
・プログラム版本管理（Git導入）</t>
  </si>
  <si>
    <t>SDTM / 解析レポート / プログラム
（ドメイン）
全ドメイン（横断）</t>
  </si>
  <si>
    <t>・Custom Domainを作るか判断するときに使用
・どのクラス（Findings等）で設計するかの参考
・社内SOP整備の必要性判断
・他社の実務実態を把握</t>
  </si>
  <si>
    <t>SDTM
（ドメイン）
Custom Domain全般</t>
  </si>
  <si>
    <t>・AI活用検討
・データレビュー自動化
・異常検知
・テキスト解析
・業務効率化（チャットボット等）</t>
  </si>
  <si>
    <t>横断（SDTM全体 + 非構造データ）</t>
  </si>
  <si>
    <t>・cSDRGをForm A代替として設計するか判断するときに使用
・どの記載を削減できるか判断するときに使用
・TraceabilityにADaMを含める範囲を決めるときに使用
・Validation Issue説明の粒度を決めるときに使用</t>
  </si>
  <si>
    <t>(対象成果物)
SDTM / Define.xml / SDRG / ADRG
(ドメイン)
TA / TE / TI / TS / TV / SV / RELREC / AE</t>
  </si>
  <si>
    <t>・PMDA技術的ガイドの要求事項をcSDRGへ反映するか判断するときに使用
・日本語データや翻訳データの説明方法を決定するときに使用
・統合解析時のCDISCバージョン差異の説明要否を判断するときに使用
・SUPPやRELRECの説明責任を整理するときに使用
・中間解析データや追加提出データの説明方針を決定するときに使用</t>
  </si>
  <si>
    <t>（対象成果物）
SDTM / Define.xml / SDRG / ADRG
（ドメイン）
DM / SUPPDM / PC / PP / RELREC / TS / LB / SV</t>
  </si>
  <si>
    <t>SDTMを活用した中央モニタリング（RBM）および安全性・試験進捗分析の実践整理</t>
    <phoneticPr fontId="3"/>
  </si>
  <si>
    <t>2018-2019</t>
    <phoneticPr fontId="3"/>
  </si>
  <si>
    <t>教育</t>
  </si>
  <si>
    <t>基礎・Q&amp;A</t>
  </si>
  <si>
    <t>心理的安心</t>
  </si>
  <si>
    <t>合意形成</t>
  </si>
  <si>
    <t>標準管理・戦略</t>
  </si>
  <si>
    <t>品質向上</t>
  </si>
  <si>
    <t>SDTM実装・バリデーション</t>
  </si>
  <si>
    <t>時短</t>
  </si>
  <si>
    <t>高度活用・新技術</t>
  </si>
  <si>
    <t>申請準備・規制当局対応</t>
  </si>
  <si>
    <t>資料カテゴリ</t>
  </si>
  <si>
    <t>資料カテゴリ</t>
    <phoneticPr fontId="3"/>
  </si>
  <si>
    <t>実務分類</t>
    <rPh sb="0" eb="4">
      <t>ジツムブンルイ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</si>
</sst>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游ゴシック"/>
      <family val="2"/>
      <charset val="128"/>
      <scheme val="minor"/>
    </font>
    <font>
      <b/>
      <sz val="9"/>
      <color theme="1"/>
      <name val="ＭＳ 明朝"/>
      <family val="1"/>
      <charset val="128"/>
    </font>
    <font>
      <b/>
      <sz val="9"/>
      <color theme="1"/>
      <name val="Century"/>
      <family val="1"/>
    </font>
    <font>
      <sz val="6"/>
      <name val="游ゴシック"/>
      <family val="2"/>
      <charset val="128"/>
      <scheme val="minor"/>
    </font>
    <font>
      <sz val="9"/>
      <color theme="1"/>
      <name val="ＭＳ ゴシック"/>
      <family val="3"/>
      <charset val="128"/>
    </font>
    <font>
      <sz val="10"/>
      <color theme="1"/>
      <name val="ＭＳ ゴシック"/>
      <family val="3"/>
      <charset val="128"/>
    </font>
    <font>
      <sz val="10"/>
      <color theme="1"/>
      <name val="游ゴシック"/>
      <family val="2"/>
      <charset val="128"/>
      <scheme val="minor"/>
    </font>
    <font>
      <sz val="11"/>
      <color theme="1"/>
      <name val="游ゴシック"/>
      <family val="2"/>
      <scheme val="minor"/>
    </font>
    <font>
      <sz val="9"/>
      <name val="ＭＳ Ｐゴシック"/>
      <family val="3"/>
      <charset val="128"/>
    </font>
    <font>
      <sz val="6"/>
      <name val="游ゴシック"/>
      <family val="3"/>
      <charset val="128"/>
      <scheme val="minor"/>
    </font>
    <font>
      <sz val="9"/>
      <color theme="1"/>
      <name val="Segoe UI Symbol"/>
      <family val="3"/>
    </font>
    <font>
      <sz val="6"/>
      <color theme="1"/>
      <name val="ＭＳ ゴシック"/>
      <family val="3"/>
      <charset val="128"/>
    </font>
    <font>
      <sz val="6"/>
      <color theme="1"/>
      <name val="Segoe UI Symbol"/>
      <family val="3"/>
    </font>
    <font>
      <sz val="8"/>
      <color theme="1"/>
      <name val="ＭＳ ゴシック"/>
      <family val="3"/>
      <charset val="128"/>
    </font>
    <font>
      <sz val="8"/>
      <color theme="1"/>
      <name val="Segoe UI Symbol"/>
      <family val="3"/>
    </font>
    <font>
      <b/>
      <sz val="9"/>
      <color theme="1"/>
      <name val="ＭＳ Ｐ明朝"/>
      <family val="1"/>
      <charset val="128"/>
    </font>
    <font>
      <b/>
      <sz val="9"/>
      <color theme="1"/>
      <name val="ＭＳ ゴシック"/>
      <family val="1"/>
      <charset val="128"/>
    </font>
    <font>
      <sz val="10"/>
      <color rgb="FF000000"/>
      <name val="ＭＳ ゴシック"/>
      <family val="3"/>
      <charset val="128"/>
    </font>
    <font>
      <sz val="6"/>
      <name val="游ゴシック"/>
      <family val="2"/>
      <charset val="128"/>
    </font>
    <font>
      <sz val="6"/>
      <color rgb="FF000000"/>
      <name val="ＭＳ ゴシック"/>
      <family val="3"/>
      <charset val="128"/>
    </font>
    <font>
      <sz val="6"/>
      <color rgb="FF000000"/>
      <name val="Segoe UI Symbol"/>
      <family val="3"/>
    </font>
    <font>
      <sz val="8"/>
      <color rgb="FF000000"/>
      <name val="ＭＳ ゴシック"/>
      <family val="3"/>
      <charset val="128"/>
    </font>
    <font>
      <sz val="7"/>
      <color rgb="FF000000"/>
      <name val="ＭＳ ゴシック"/>
      <family val="3"/>
      <charset val="128"/>
    </font>
    <font>
      <b/>
      <sz val="11"/>
      <color theme="1"/>
      <name val="ＭＳ ゴシック"/>
      <family val="3"/>
      <charset val="128"/>
    </font>
    <font>
      <sz val="10"/>
      <color theme="2" tint="-0.249977111117893"/>
      <name val="ＭＳ ゴシック"/>
      <family val="3"/>
      <charset val="128"/>
    </font>
    <font>
      <b/>
      <sz val="9"/>
      <color theme="2" tint="-0.499984740745262"/>
      <name val="ＭＳ 明朝"/>
      <family val="1"/>
      <charset val="128"/>
    </font>
  </fonts>
  <fills count="11">
    <fill>
      <patternFill patternType="none"/>
    </fill>
    <fill>
      <patternFill patternType="gray125"/>
    </fill>
    <fill>
      <patternFill patternType="solid">
        <fgColor rgb="FFCCCCFF"/>
      </patternFill>
    </fill>
    <fill>
      <patternFill patternType="solid">
        <fgColor theme="3" tint="0.89999084444715716"/>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FFC000"/>
        <bgColor indexed="64"/>
      </patternFill>
    </fill>
    <fill>
      <patternFill patternType="solid">
        <fgColor theme="0" tint="-0.499984740745262"/>
        <bgColor indexed="64"/>
      </patternFill>
    </fill>
  </fills>
  <borders count="10">
    <border>
      <left/>
      <right/>
      <top/>
      <bottom/>
      <diagonal/>
    </border>
    <border>
      <left/>
      <right/>
      <top style="thick">
        <color indexed="64"/>
      </top>
      <bottom style="thick">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top style="thin">
        <color indexed="64"/>
      </top>
      <bottom style="thin">
        <color indexed="64"/>
      </bottom>
      <diagonal/>
    </border>
    <border>
      <left style="double">
        <color auto="1"/>
      </left>
      <right/>
      <top/>
      <bottom/>
      <diagonal/>
    </border>
    <border>
      <left style="double">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style="thin">
        <color indexed="64"/>
      </top>
      <bottom style="double">
        <color indexed="64"/>
      </bottom>
      <diagonal/>
    </border>
  </borders>
  <cellStyleXfs count="2">
    <xf numFmtId="0" fontId="0" fillId="0" borderId="0">
      <alignment vertical="center"/>
    </xf>
    <xf numFmtId="0" fontId="7" fillId="0" borderId="0"/>
  </cellStyleXfs>
  <cellXfs count="68">
    <xf numFmtId="0" fontId="0" fillId="0" borderId="0" xfId="0">
      <alignment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vertical="center" wrapText="1"/>
    </xf>
    <xf numFmtId="0" fontId="5" fillId="0" borderId="3" xfId="0" applyFont="1" applyBorder="1">
      <alignment vertical="center"/>
    </xf>
    <xf numFmtId="0" fontId="5" fillId="0" borderId="3" xfId="0" applyFont="1" applyBorder="1" applyAlignment="1">
      <alignment vertical="top" wrapText="1"/>
    </xf>
    <xf numFmtId="0" fontId="5" fillId="0" borderId="4" xfId="0" applyFont="1" applyBorder="1" applyAlignment="1">
      <alignment vertical="top" wrapText="1"/>
    </xf>
    <xf numFmtId="0" fontId="5" fillId="0" borderId="3" xfId="0" applyFont="1" applyBorder="1" applyAlignment="1">
      <alignment horizontal="left" vertical="top"/>
    </xf>
    <xf numFmtId="0" fontId="6" fillId="0" borderId="0" xfId="0" applyFont="1">
      <alignment vertical="center"/>
    </xf>
    <xf numFmtId="0" fontId="5" fillId="0" borderId="2" xfId="0" applyFont="1" applyBorder="1">
      <alignment vertical="center"/>
    </xf>
    <xf numFmtId="0" fontId="5" fillId="0" borderId="0" xfId="0" applyFont="1" applyAlignment="1">
      <alignment vertical="top" wrapText="1"/>
    </xf>
    <xf numFmtId="0" fontId="5" fillId="0" borderId="2" xfId="0" applyFont="1" applyBorder="1" applyAlignment="1">
      <alignment horizontal="left" vertical="top"/>
    </xf>
    <xf numFmtId="0" fontId="5" fillId="0" borderId="2" xfId="0" applyFont="1" applyBorder="1" applyAlignment="1">
      <alignment vertical="top" wrapText="1"/>
    </xf>
    <xf numFmtId="0" fontId="5" fillId="0" borderId="3" xfId="0" applyFont="1" applyBorder="1" applyAlignment="1">
      <alignment horizontal="left" vertical="top" wrapText="1"/>
    </xf>
    <xf numFmtId="0" fontId="5" fillId="0" borderId="3" xfId="0" applyFont="1" applyBorder="1" applyAlignment="1">
      <alignment vertical="top"/>
    </xf>
    <xf numFmtId="0" fontId="5" fillId="0" borderId="2" xfId="0" applyFont="1" applyBorder="1" applyAlignment="1">
      <alignment horizontal="left" vertical="top" wrapText="1"/>
    </xf>
    <xf numFmtId="0" fontId="5" fillId="0" borderId="2" xfId="0" applyFont="1" applyBorder="1" applyAlignment="1">
      <alignment vertical="top"/>
    </xf>
    <xf numFmtId="0" fontId="4" fillId="0" borderId="2" xfId="0" applyFont="1" applyBorder="1" applyAlignment="1">
      <alignment vertical="top" wrapText="1"/>
    </xf>
    <xf numFmtId="0" fontId="8" fillId="2" borderId="0" xfId="1" applyFont="1" applyFill="1"/>
    <xf numFmtId="0" fontId="7" fillId="0" borderId="0" xfId="1"/>
    <xf numFmtId="0" fontId="8" fillId="0" borderId="0" xfId="1" applyFont="1"/>
    <xf numFmtId="0" fontId="11" fillId="0" borderId="2" xfId="0" applyFont="1" applyBorder="1" applyAlignment="1">
      <alignment vertical="top" wrapText="1"/>
    </xf>
    <xf numFmtId="0" fontId="5" fillId="0" borderId="2" xfId="0" applyFont="1" applyBorder="1" applyAlignment="1">
      <alignment vertical="center" wrapText="1"/>
    </xf>
    <xf numFmtId="0" fontId="13" fillId="0" borderId="2" xfId="0" applyFont="1" applyBorder="1" applyAlignment="1">
      <alignment vertical="top" wrapText="1"/>
    </xf>
    <xf numFmtId="56" fontId="5" fillId="0" borderId="2" xfId="0" applyNumberFormat="1" applyFont="1" applyBorder="1">
      <alignment vertical="center"/>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0" fillId="0" borderId="0" xfId="0" applyAlignment="1">
      <alignment vertical="top" wrapText="1"/>
    </xf>
    <xf numFmtId="0" fontId="17" fillId="0" borderId="2" xfId="0" applyFont="1" applyBorder="1" applyAlignment="1">
      <alignment vertical="center" wrapText="1"/>
    </xf>
    <xf numFmtId="0" fontId="17" fillId="0" borderId="2" xfId="0" applyFont="1" applyBorder="1" applyAlignment="1">
      <alignment vertical="top" wrapText="1"/>
    </xf>
    <xf numFmtId="0" fontId="19" fillId="0" borderId="2" xfId="0" applyFont="1" applyBorder="1" applyAlignment="1">
      <alignment vertical="top" wrapText="1"/>
    </xf>
    <xf numFmtId="0" fontId="17" fillId="0" borderId="2" xfId="0" applyFont="1" applyBorder="1" applyAlignment="1">
      <alignment horizontal="left" vertical="top" wrapText="1"/>
    </xf>
    <xf numFmtId="0" fontId="21" fillId="0" borderId="2" xfId="0" applyFont="1" applyBorder="1" applyAlignment="1">
      <alignment vertical="top" wrapText="1"/>
    </xf>
    <xf numFmtId="0" fontId="22" fillId="0" borderId="2" xfId="0" applyFont="1" applyBorder="1" applyAlignment="1">
      <alignment vertical="top" wrapText="1"/>
    </xf>
    <xf numFmtId="0" fontId="6" fillId="0" borderId="0" xfId="0" applyFont="1" applyAlignment="1">
      <alignment vertical="center" wrapText="1"/>
    </xf>
    <xf numFmtId="0" fontId="5" fillId="0" borderId="8" xfId="0" applyFont="1" applyBorder="1" applyAlignment="1">
      <alignment horizontal="left" vertical="top"/>
    </xf>
    <xf numFmtId="0" fontId="23" fillId="4" borderId="6" xfId="0" applyFont="1" applyFill="1" applyBorder="1" applyAlignment="1">
      <alignment vertical="top" wrapText="1"/>
    </xf>
    <xf numFmtId="0" fontId="23" fillId="4" borderId="0" xfId="0" applyFont="1" applyFill="1" applyAlignment="1">
      <alignment vertical="top" wrapText="1"/>
    </xf>
    <xf numFmtId="0" fontId="24" fillId="0" borderId="8" xfId="0" applyFont="1" applyBorder="1" applyAlignment="1">
      <alignment horizontal="left" vertical="top"/>
    </xf>
    <xf numFmtId="0" fontId="24" fillId="0" borderId="8" xfId="0" applyFont="1" applyBorder="1" applyAlignment="1">
      <alignment horizontal="left" vertical="top" wrapText="1"/>
    </xf>
    <xf numFmtId="0" fontId="25" fillId="5" borderId="0" xfId="0" applyFont="1" applyFill="1" applyAlignment="1">
      <alignment horizontal="center" vertical="center" wrapText="1"/>
    </xf>
    <xf numFmtId="0" fontId="1" fillId="6" borderId="1" xfId="0" applyFont="1" applyFill="1" applyBorder="1" applyAlignment="1">
      <alignment horizontal="center" vertical="center" wrapText="1"/>
    </xf>
    <xf numFmtId="0" fontId="5" fillId="6" borderId="2" xfId="0" applyFont="1" applyFill="1" applyBorder="1" applyAlignment="1">
      <alignment horizontal="left" vertical="top"/>
    </xf>
    <xf numFmtId="0" fontId="5" fillId="6" borderId="2" xfId="0" applyFont="1" applyFill="1" applyBorder="1" applyAlignment="1">
      <alignment horizontal="left" vertical="top" wrapText="1"/>
    </xf>
    <xf numFmtId="0" fontId="5" fillId="6" borderId="0" xfId="0" applyFont="1" applyFill="1" applyAlignment="1">
      <alignment horizontal="left" vertical="top" wrapText="1"/>
    </xf>
    <xf numFmtId="0" fontId="17" fillId="6" borderId="2" xfId="0" applyFont="1" applyFill="1" applyBorder="1" applyAlignment="1">
      <alignment horizontal="left" vertical="top" wrapText="1"/>
    </xf>
    <xf numFmtId="0" fontId="17" fillId="6" borderId="5" xfId="0" applyFont="1" applyFill="1" applyBorder="1" applyAlignment="1">
      <alignment horizontal="left" vertical="top" wrapText="1"/>
    </xf>
    <xf numFmtId="0" fontId="2" fillId="6" borderId="1" xfId="0" applyFont="1" applyFill="1" applyBorder="1" applyAlignment="1">
      <alignment horizontal="center" vertical="center" wrapText="1"/>
    </xf>
    <xf numFmtId="0" fontId="5" fillId="6" borderId="5" xfId="0" applyFont="1" applyFill="1" applyBorder="1" applyAlignment="1">
      <alignment horizontal="left" vertical="top"/>
    </xf>
    <xf numFmtId="0" fontId="5" fillId="6" borderId="5" xfId="0" applyFont="1" applyFill="1" applyBorder="1" applyAlignment="1">
      <alignment horizontal="left" vertical="top" wrapText="1"/>
    </xf>
    <xf numFmtId="0" fontId="5" fillId="7" borderId="2" xfId="0" applyFont="1" applyFill="1" applyBorder="1" applyAlignment="1">
      <alignment horizontal="left" vertical="top" wrapText="1"/>
    </xf>
    <xf numFmtId="0" fontId="5" fillId="7" borderId="2" xfId="0" applyFont="1" applyFill="1" applyBorder="1" applyAlignment="1">
      <alignment horizontal="left" vertical="top"/>
    </xf>
    <xf numFmtId="0" fontId="5" fillId="8" borderId="7" xfId="0" applyFont="1" applyFill="1" applyBorder="1" applyAlignment="1">
      <alignment horizontal="left" vertical="top" wrapText="1"/>
    </xf>
    <xf numFmtId="0" fontId="5" fillId="8" borderId="8" xfId="0" applyFont="1" applyFill="1" applyBorder="1" applyAlignment="1">
      <alignment horizontal="left" vertical="top" wrapText="1"/>
    </xf>
    <xf numFmtId="0" fontId="24" fillId="9" borderId="8" xfId="0" applyFont="1" applyFill="1" applyBorder="1" applyAlignment="1">
      <alignment horizontal="left" vertical="top" wrapText="1"/>
    </xf>
    <xf numFmtId="0" fontId="5" fillId="10" borderId="7" xfId="0" applyFont="1" applyFill="1" applyBorder="1" applyAlignment="1">
      <alignment horizontal="left" vertical="top" wrapText="1"/>
    </xf>
    <xf numFmtId="0" fontId="5" fillId="10" borderId="8" xfId="0" applyFont="1" applyFill="1" applyBorder="1" applyAlignment="1">
      <alignment horizontal="left" vertical="top" wrapText="1"/>
    </xf>
    <xf numFmtId="0" fontId="6" fillId="0" borderId="3" xfId="0" applyFont="1" applyBorder="1" applyAlignment="1">
      <alignment horizontal="left" vertical="top" wrapText="1"/>
    </xf>
    <xf numFmtId="0" fontId="6" fillId="0" borderId="2" xfId="0" applyFont="1" applyBorder="1" applyAlignment="1">
      <alignment horizontal="left" vertical="top" wrapText="1"/>
    </xf>
    <xf numFmtId="0" fontId="6" fillId="0" borderId="0" xfId="0" applyFont="1" applyAlignment="1">
      <alignment horizontal="left" vertical="top"/>
    </xf>
    <xf numFmtId="0" fontId="0" fillId="0" borderId="0" xfId="0" applyAlignment="1">
      <alignment horizontal="left" vertical="top"/>
    </xf>
    <xf numFmtId="0" fontId="15" fillId="0" borderId="9" xfId="0" applyFont="1" applyBorder="1" applyAlignment="1">
      <alignment horizontal="center" vertical="center" wrapText="1"/>
    </xf>
    <xf numFmtId="0" fontId="1" fillId="5" borderId="0" xfId="0" applyFont="1" applyFill="1" applyAlignment="1">
      <alignment horizontal="center" vertical="center"/>
    </xf>
    <xf numFmtId="0" fontId="5" fillId="0" borderId="0" xfId="0" applyFont="1">
      <alignment vertical="center"/>
    </xf>
    <xf numFmtId="0" fontId="5" fillId="0" borderId="0" xfId="0" applyFont="1" applyAlignment="1">
      <alignment horizontal="left" vertical="center" wrapText="1"/>
    </xf>
    <xf numFmtId="0" fontId="5" fillId="0" borderId="8" xfId="0" applyFont="1" applyBorder="1">
      <alignment vertical="center"/>
    </xf>
    <xf numFmtId="0" fontId="5" fillId="0" borderId="8" xfId="0" applyFont="1" applyBorder="1" applyAlignment="1">
      <alignment horizontal="left" vertical="center" wrapText="1"/>
    </xf>
  </cellXfs>
  <cellStyles count="2">
    <cellStyle name="標準" xfId="0" builtinId="0"/>
    <cellStyle name="標準 2" xfId="1" xr:uid="{E5930BA6-AA8F-422D-BD51-FF96FCCDD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H Nishikimi" id="{BFD24BBB-FAA3-48FD-912E-2192A2B605F4}" userId="H Nishikimi" providerId="None"/>
  <person displayName="masafumi kikura" id="{B943F829-6134-4124-955E-97F4C90B27D1}" userId="S::m-kikura@fujimoto-pharm.jp::01ce4d96-dd78-4d29-8836-2dd15da233d3"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 dT="2026-06-29T02:56:39.26" personId="{B943F829-6134-4124-955E-97F4C90B27D1}" id="{BC8B2E27-2E76-4B8D-A9FD-0A09BFA7D70F}">
    <text>&lt;プロンプト&gt;
Ⅰ No / Zipファイル名 / 資料名
👉 入力値そのまま（加工禁止）</text>
  </threadedComment>
  <threadedComment ref="D1" dT="2026-06-29T02:58:08.05" personId="{B943F829-6134-4124-955E-97F4C90B27D1}" id="{6715944C-BB51-474E-865B-2A786BAFECAA}">
    <text>Ⅱ 重要度
&lt;プロンプト&gt;
この資料がSDTM実務における意思決定や設計に与える影響度を、★〜★★★で評価せよ
★：文脈理解・情報共有（設計・判断には基本影響しない）
★★：設計・実装における判断の選択肢や根拠を提供する
★★★：設計の前提・原則・必須方針を規定する（従わないと整合性が崩れる）
【判断基準（必ず参照）】
★：知らなくても設計できる
★★：知らないと実装判断で迷う
★★★：知らないと設計を誤る
※内容の長さ・難易度ではなく「設計影響度」で判断すること
■ 出力形式（厳守）
★
★★
★★★</text>
  </threadedComment>
  <threadedComment ref="E1" dT="2026-06-29T02:59:02.00" personId="{B943F829-6134-4124-955E-97F4C90B27D1}" id="{64FA0850-F334-4E9E-93CF-2B7EBEF56284}">
    <text>Ⅲ Table of Contents
&lt;プロンプト&gt;
本資料の論点構造を「実務的に意味のある単位」で5〜8個に分解し、
名詞句で / 区切りで簡潔に列挙せよ
■ 出力ルール（厳守）
名詞句のみ（動詞禁止）
最大8個
具体トピック単位（章タイトルの写経禁止）
■ 出力例
背景 / 実務課題 / Validation問題 / アプローチ / 実装方法 / 適用範囲 / 結論</text>
  </threadedComment>
  <threadedComment ref="F1" dT="2026-06-29T03:00:31.35" personId="{B943F829-6134-4124-955E-97F4C90B27D1}" id="{BB266940-4F9F-4085-9AD5-2181A4030A73}">
    <text>Ⅳ Summary（最重要）
&lt;プロンプト&gt;
本資料を「実務者が判断に使えるレベル」で詳細に要約せよ。
以下構造を必ず守り、
実務課題 → 原因 → 何が問題 → 解決アプローチ の流れで記載すること。
抽象的説明は禁止し、SDTM実装・Validation・Define.xml等の具体文脈で記載すること。
■ 出力構造（完全固定）
【概要】
（資料の対象と位置づけ）
【実務課題】
①
②
③
【原因・背景】
①
②
【解決アプローチ／示唆】
①
②
③
&lt;重要度別ルール（追加）&gt;
★：
・簡潔に記載（概要＋最低限のポイントのみ）
・実務課題の深掘りは不要（1〜2点で可）
・長文化しない（ナレッジ蓄積対象外）
★★：
・実務課題・判断ポイントを中心に記載
★★★：
・設計判断に使えるレベルで詳細に記載（長文化推奨）
■ 重要補足（追加：他社向けガード）
※長文可（むしろ推奨）
※ただしストーリー的文章ではなく、構造化して記載すること
※一般論・教科書的説明は禁止</text>
  </threadedComment>
  <threadedComment ref="G1" dT="2026-06-29T03:01:16.55" personId="{B943F829-6134-4124-955E-97F4C90B27D1}" id="{08A49ACA-B116-44BF-9192-BBE5F83A4327}">
    <text>Ⅴ 利用目的
&lt;プロンプト&gt;
本資料を「どの意思決定・設計判断の場面で使うか」を、
実務シナリオとして具体的に3〜5個記述せよ
■ 出力形式
・〜ときに使用
・〜を判断するときに使用
■ NG（明示）
「参考にする」
「理解を深める」</text>
  </threadedComment>
  <threadedComment ref="H1" dT="2026-06-29T04:08:02.93" personId="{B943F829-6134-4124-955E-97F4C90B27D1}" id="{E5284451-F0B7-4CCB-88DA-C0BCF303512A}">
    <text>Ⅵ 対象成果物 / ドメイン
■ プロンプト①（成果物）
本資料が直接影響する成果物をCDISC成果物単位で列挙せよ
● 出力形式
SDTM / ADaM / Define.xml / SDRG / ADRG / Dataset-XML
■ プロンプト②（ドメイン）
本資料が主に影響するドメインまたは変数カテゴリを列挙せよ（最大8個）
● 出力形式
DM / AE / LB / VS / RELREC / TS
● ルール（重要）
・ドメイン名または変数カテゴリに限定
・「全ドメイン」は禁止
・曖昧表現を使わない</text>
  </threadedComment>
  <threadedComment ref="I1" dT="2026-06-29T04:09:19.72" personId="{B943F829-6134-4124-955E-97F4C90B27D1}" id="{416CBA13-D849-46D2-9799-031E5F6F2907}">
    <text>Ⅶ 資料作成日
年（YYYY）で統一する</text>
  </threadedComment>
  <threadedComment ref="D2" dT="2026-06-29T05:00:29.91" personId="{B943F829-6134-4124-955E-97F4C90B27D1}" id="{25A514F5-7A23-400D-AD9C-5C8080B63313}">
    <text>👉 判定理由（内部ロジック）
知らなくてもSDTM設計・実装は可能
判断・設計の選択にも影響しない
完全に「文脈・背景情報」</text>
  </threadedComment>
  <threadedComment ref="D3" dT="2026-06-29T05:00:47.52" personId="{B943F829-6134-4124-955E-97F4C90B27D1}" id="{D27EFEA5-FD51-4499-88C6-8EEFFC3264BB}">
    <text>👉 判定理由（内部ロジック）
実務判断（PPドメイン・言語運用）には影響する
ただし従わなくてもSDTM自体は構築可能
設計の「前提」ではなく「判断材料」</text>
  </threadedComment>
  <threadedComment ref="D4" dT="2026-06-29T05:01:20.23" personId="{B943F829-6134-4124-955E-97F4C90B27D1}" id="{5FF2E824-5381-485E-A65E-3B60949E55F3}">
    <text>👉 判定理由（内部ロジック）
翻訳依存は設計ミス要因になるが、従わなくてもSDTM構築自体は可能
設計の「必須前提」ではなく「判断・注意事項」
他にも成立している実装パターンが存在する</text>
  </threadedComment>
  <threadedComment ref="D5" dT="2026-06-29T05:05:40.33" personId="{B943F829-6134-4124-955E-97F4C90B27D1}" id="{D7E364D8-C73B-411E-8E44-718138099E08}">
    <text>👉 判定理由
SDTM設計・実装・判断に直接影響しない
チーム運営・活動紹介が主目的
知らなくても実務は問題なく成立</text>
  </threadedComment>
  <threadedComment ref="D6" dT="2026-06-29T05:08:19.21" personId="{B943F829-6134-4124-955E-97F4C90B27D1}" id="{8A6FFE86-2474-4E00-BADD-498907314EBA}">
    <text>👉 判定理由
Validationを「ツール依存」から「設計可能なルール」に変えるアプローチ
P21未対応領域（APドメイン等）では代替手段がない
適用しない場合、Data/Define.xml整合性の説明・制御が困難
👉 Validation設計そのものに関わる = 設計前提</text>
  </threadedComment>
  <threadedComment ref="D7" dT="2026-06-29T05:12:03.64" personId="{B943F829-6134-4124-955E-97F4C90B27D1}" id="{9B790AD9-6EFE-4F91-8AE2-2D0605F72035}">
    <text>👉 判定理由
STUDYID・DM・--DYなどSDTMコア設計の前提を規定
誤るとValidationが成立しない／レビュー不可になる
実装選択ではなく「必須設計方針」レベル
👉 設計が成立する／しないを分ける資料</text>
  </threadedComment>
  <threadedComment ref="D8" dT="2026-06-29T05:19:02.83" personId="{B943F829-6134-4124-955E-97F4C90B27D1}" id="{0CDA6B01-B16C-49D6-B2DD-68C3C0BF107F}">
    <text>👉 判定理由
Rの活用事例・チーム活動紹介が主内容
SDTM設計・Validation・規制対応には直接影響しない
知らなくても実務は成立</text>
  </threadedComment>
  <threadedComment ref="D9" dT="2026-06-29T05:24:58.20" personId="{B943F829-6134-4124-955E-97F4C90B27D1}" id="{9AE7F541-20AC-4B43-AFFA-342F0F9ECC94}">
    <text>👉 判定理由
SDTMIGで不足する領域の設計方針（どう拡張するか）を規定
TAUGを使わないと、疾患特有データの格納方法が定義できない
NSV・ドメイン選択・モデリングが破綻
👉 SDTM拡張設計の前提</text>
  </threadedComment>
  <threadedComment ref="D10" dT="2026-06-29T05:29:55.08" personId="{B943F829-6134-4124-955E-97F4C90B27D1}" id="{5BD0B47B-B144-4F06-A814-3BE81F3DD318}">
    <text>👉 判定理由
CT・Dataset・Variableの統一ルール（企業横断）を規定
統一しないとISS/ISE・提出データ統合が成立しない
PMDA要求（同一NDA内でのCT統一）に直結
👉 データ統合設計の前提</text>
  </threadedComment>
  <threadedComment ref="D11" dT="2026-06-29T05:33:34.16" personId="{B943F829-6134-4124-955E-97F4C90B27D1}" id="{14E74E01-915D-467A-A51A-859D2C8B9EDA}">
    <text>👉 判定理由
チーム活動・プロトコル作成プロセスの紹介が主目的
SDTM構造・Validation・提出設計には直接影響しない
知らなくても実務は成立</text>
  </threadedComment>
  <threadedComment ref="D12" dT="2026-06-29T05:36:41.46" personId="{B943F829-6134-4124-955E-97F4C90B27D1}" id="{391334F4-CC67-417E-8871-A5FE7070D78B}">
    <text>👉 判定理由
模擬試験におけるDV（Deviations）チームの活動報告
SDTM設計・Validation・提出仕様に直接影響しない
知らなくても実務は成立</text>
  </threadedComment>
  <threadedComment ref="D13" dT="2026-06-29T05:40:00.33" personId="{B943F829-6134-4124-955E-97F4C90B27D1}" id="{05525B0A-D560-4D66-A88F-3BD40DDE4FEF}">
    <text>👉 判定理由
紙CRFチームの進捗報告・運用内容
SDTM設計・Validation・提出仕様に直接影響しない
知らなくても実務は成立</text>
  </threadedComment>
  <threadedComment ref="D14" dT="2026-06-29T05:43:29.88" personId="{B943F829-6134-4124-955E-97F4C90B27D1}" id="{AAA0122E-3AE8-42E6-8101-8DAED4B714A0}">
    <text>👉 判定理由
TAUG（乳がん）の意訳作成およびチーム活動報告が主内容
SDTM設計そのものの原則を規定しているわけではない
知らなくても設計・実装は成立</text>
  </threadedComment>
  <threadedComment ref="D15" dT="2026-06-29T05:49:33.11" personId="{B943F829-6134-4124-955E-97F4C90B27D1}" id="{C12D39AA-71D0-460C-B027-B13ADED10B8A}">
    <text>👉 判定理由
TAUGの具体的実装例・詳細モデリングを提供
設計判断（TU/TR/RS、NSV、RELREC）に強く影響する
ただしTAUG自体を補助する位置であり、必須前提ではない
👉 実装判断レベル</text>
  </threadedComment>
  <threadedComment ref="D16" dT="2026-06-29T05:53:50.18" personId="{B943F829-6134-4124-955E-97F4C90B27D1}" id="{20AE2A7B-37B5-4758-B6DF-8B333442DA32}">
    <text xml:space="preserve">👉 判定理由
腫瘍データ（TU/TR/RS）の具体実装ロジックを示す
実装判断には強く影響するが
TAUGなしでも理論上は設計可能
👉 実装ガイド（強い★★）
</text>
  </threadedComment>
  <threadedComment ref="D17" dT="2026-06-29T05:58:12.51" personId="{B943F829-6134-4124-955E-97F4C90B27D1}" id="{780D09FB-4E3A-48B2-B555-AB11EBC63F55}">
    <text>👉 判定理由
Define.xml設計の中核（VLM設計方針）を扱う
誤るとValidation通過・説明可能性が破綻
かつ明確な規制がない領域＝設計判断を必須化する領域
👉 Define.xml設計の根幹</text>
  </threadedComment>
  <threadedComment ref="D18" dT="2026-06-29T06:08:37.62" personId="{B943F829-6134-4124-955E-97F4C90B27D1}" id="{9639CE3A-4920-4ABA-83D5-FA886BCCAFAB}">
    <text>👉 判定理由
模擬試験（PV0363）の全体活動・運用・進捗説明
SDTM設計ルールや提出仕様の規定ではない
知らなくても実務設計は成立</text>
  </threadedComment>
  <threadedComment ref="D19" dT="2026-06-29T06:12:00.76" personId="{B943F829-6134-4124-955E-97F4C90B27D1}" id="{50E4ACB2-13CB-4CD6-8F37-86C658803300}">
    <text>👉 判定理由
CJUG活動内のコミュニケーション施策（チャッティングセッション）の報告
SDTM設計・提出・Validationには直接関係しない
知らなくても実務は成立</text>
  </threadedComment>
  <threadedComment ref="D20" dT="2026-06-29T06:14:34.39" personId="{B943F829-6134-4124-955E-97F4C90B27D1}" id="{54855E34-607C-4706-957C-8B29755DFFFB}">
    <text>👉 判定理由
CJUG SDTMの年間活動報告（組織・活動・成果一覧）
SDTM設計ルールや提出仕様ではない
知らなくても実務設計は成立</text>
  </threadedComment>
  <threadedComment ref="D21" dT="2026-06-29T06:20:07.08" personId="{B943F829-6134-4124-955E-97F4C90B27D1}" id="{9DE905B6-89AC-4C21-A77F-F76D07689BF1}">
    <text>👉 判定理由
模擬試験（PV0363）の進捗共有・チーム運営・タスク整理の会議資料
SDTM設計ルールではなくプロジェクト運営・実行フェーズの話
知らなくても設計自体は成立</text>
  </threadedComment>
  <threadedComment ref="D22" dT="2026-06-29T06:29:45.79" personId="{B943F829-6134-4124-955E-97F4C90B27D1}" id="{317A6374-749B-446C-894A-918EDE2BF1A8}">
    <text>👉 判定理由
Trial Design Dataset（TA/TE/TI/TS/TV）の実装・PGM設計・Validationを扱う
実務（Spec作成・SAS・P21対応）に直結
ただし原則（IG/Define/XML）なしでも理論上は代替可能
👉 実装レイヤーの強い資料（★★）</text>
  </threadedComment>
  <threadedComment ref="D23" dT="2026-06-29T06:34:05.61" personId="{B943F829-6134-4124-955E-97F4C90B27D1}" id="{ED943DDE-9A5D-4290-BDA3-EC67647FECB1}">
    <text>👉 判定理由
SDTMデータのRによる処理・分析・レポーティングを扱う
実務効率（DM・Programming）の改善に直結
ただし提出要件ではないため★★
👉 実装効率化・ツール活用のコア資料</text>
  </threadedComment>
  <threadedComment ref="D24" dT="2026-06-29T06:40:20.81" personId="{B943F829-6134-4124-955E-97F4C90B27D1}" id="{DFD211B6-3435-4FE5-8780-7C1672CAF213}">
    <text>👉 判定理由
Custom Domainの**実態（使用状況・体制・課題）**を把握できる
実務判断（作るか・どう作るか）に影響
ただし設計原則そのものではないため★★
👉 実務意思決定（Custom Domain採用判断）に効く資料</text>
  </threadedComment>
  <threadedComment ref="D25" dT="2026-06-29T06:47:24.02" personId="{B943F829-6134-4124-955E-97F4C90B27D1}" id="{6C22E1DB-0FE1-4B5E-8B6D-1F53E353DF90}">
    <text>👉 判定理由
CT（Controlled Terminology）の全社管理戦略・運用設計を扱う
SDTM/ADaM/統合解析すべてに影響する基盤レイヤー
実装・運用・統合まで横断的に効く
👉 メタデータ統制のコア中のコア（★★★）</text>
  </threadedComment>
  <threadedComment ref="G25" dT="2026-06-29T06:55:57.55" personId="{B943F829-6134-4124-955E-97F4C90B27D1}" id="{5E0A5103-7D41-45AE-BC4D-D88959FD769B}">
    <text>✅ 補足（超重要）
これは今回の中でトップクラスに重要です👇
✔ 本質
👉 問題はこれ
CTは変わる
試験は複数ある
👉 結果
→ データが繋がらない
✔ 解決の本質
👉 CTを直接使わない
👉「内部コードレイヤー」を作る
✔ レイヤー構造
CDISC CT（外部） ↓ 組織コード（内部） ↓ CRF / SDTM / ADaM ↓ 統合解析 
👉 これが核心
✔ 強いポイント
Study依存を排除
CT更新に強い
統合解析が楽
Traceability維持
✅ 全体構造（完成）
★★★層が確定👇
023：CT基本
030：VLM設計
038：CT管理戦略 ←中核
👉 これで
「メタデータ統制（CT / VLM / Custom）」完全攻略 👍</text>
  </threadedComment>
  <threadedComment ref="D26" dT="2026-06-29T06:57:57.54" personId="{B943F829-6134-4124-955E-97F4C90B27D1}" id="{EA0003A4-5373-4790-ABB7-9E0D4A05F84F}">
    <text>👉 判定理由
FDA Validator / Business / Conformance Rulesの構造・差分・背景を整理
P21 Validationの本質理解に直結
PMDAルールとの関係も含めた規制横断理解
👉 Validation戦略のコア資料（★★★）</text>
  </threadedComment>
  <threadedComment ref="D27" dT="2026-06-29T07:07:56.32" personId="{B943F829-6134-4124-955E-97F4C90B27D1}" id="{37234509-74B8-49E6-8E26-E7EA824DD1C4}">
    <text>👉 判定理由
DMドメインのRACE（人種）の定義・収集・CT・Validationを横断
FDAガイダンス、CT仕様、P21 Validationの矛盾を扱う重要テーマ
実務で必ず揉める領域
👉 DM/CT/Validationの交差点（★★★）</text>
  </threadedComment>
  <threadedComment ref="D28" dT="2026-06-29T07:16:58.45" personId="{B943F829-6134-4124-955E-97F4C90B27D1}" id="{810D142C-CE7D-48F8-BD79-B73322451129}">
    <text>👉 判定理由
SDTM QCの**全体戦略（何を・いつ・どうやるか）**を体系化
実務のボトルネック（リソース不足）に対する解決策を提示
Validationと直結する運用品質の中核
👉 QC運用設計のコア資料（★★★）</text>
  </threadedComment>
  <threadedComment ref="D29" dT="2026-06-29T07:32:03.87" personId="{B943F829-6134-4124-955E-97F4C90B27D1}" id="{0CF81F90-C595-4C3A-9953-E33594085486}">
    <text>👉 判定理由
SDTMをレビュー（中央モニタリング）に直接活用する実践例
「提出用」から「業務活用」への転換を扱う
BI・可視化・RBMと連携
👉 SDTM活用フェーズの中核（★★★）</text>
  </threadedComment>
  <threadedComment ref="D30" dT="2026-06-29T07:34:58.40" personId="{B943F829-6134-4124-955E-97F4C90B27D1}" id="{214B5934-BD4B-4606-BB14-4861DD68A277}">
    <text>👉 判定理由
SDTM × AIの応用可能性探索
実務への直接適用はまだ限定的
ただし「次の進化方向」を示す重要資料
👉 未来志向（応用・研究系）ポジション</text>
  </threadedComment>
  <threadedComment ref="D31" dT="2026-06-29T23:38:15.00" personId="{B943F829-6134-4124-955E-97F4C90B27D1}" id="{410E68FF-E40B-4579-B932-16C5DC714754}">
    <text>👉 判定理由
Trial Design（TS/TI/TA）の実践的な修正・運用問題を詳細に扱う
プロトコル変更・EPOCH整合・Validation限界など実務の本質問題を網羅
「なぜTDはいつも崩れるのか」が分かる
👉 Trial Design実務の最重要資料（★★★）</text>
  </threadedComment>
  <threadedComment ref="D32" dT="2026-06-30T00:06:12.46" personId="{B943F829-6134-4124-955E-97F4C90B27D1}" id="{3345CFCA-F9A6-45B9-82A7-AAD07E61F3EA}">
    <text>👉 判定理由
**Pinnacle21 Validationの“実運用”**をそのまま再現
エラー原因（EDC / Mapping / Coding）を体系的に分解
Issue Summary（SDRG）作成までカバー
👉 Validation実務の最重要実践資料（★★★）</text>
  </threadedComment>
  <threadedComment ref="D33" dT="2026-06-30T00:37:04.61" personId="{B943F829-6134-4124-955E-97F4C90B27D1}" id="{3A74CC1E-65F6-49AA-8442-C646172672AF}">
    <text>👉 判定理由
AE / MH / CM の実コード体系（MedDRA / ATC）を完全実装した実データ
Coding運用（LLT→PT→SOC）をそのまま確認可能
Validation・Review・QCすべてに直結
👉 Coding実務のコア資料（★★★）</text>
  </threadedComment>
  <threadedComment ref="D34" dT="2026-06-30T00:41:52.54" personId="{B943F829-6134-4124-955E-97F4C90B27D1}" id="{8D123DCD-600A-4884-8778-0FD146F17E05}">
    <text>👉 判定理由
SDRG（提出文書）におけるIssue Summaryの実例
Validation結果をどう説明するかという最終工程
規制対応（PMDA / FDA）に直結
👉 Submission品質の最終アウトプット（★★★）</text>
  </threadedComment>
  <threadedComment ref="D35" dT="2026-06-30T01:02:58.06" personId="{B943F829-6134-4124-955E-97F4C90B27D1}" id="{D8F24BD2-BCCD-45E1-8C73-0DF295856658}">
    <text>👉 判定理由
define.xml作成・バリデーション・クロスチェックの実務課題を網羅
Datasetとの整合（XPT vs metadata）の問題を具体的に提示
SDTM提出パッケージの最重要メタデータ領域
👉 Submissionメタデータのコア資料（★★★）</text>
  </threadedComment>
  <threadedComment ref="D36" dT="2026-06-30T01:55:29.23" personId="{B943F829-6134-4124-955E-97F4C90B27D1}" id="{0E7A60A0-35CB-4D81-B46F-383A7E1379F1}">
    <text>👉 判定理由
SDRGの全文構成・作成プロセス・実務判断を網羅
（Issue Summary）の上位概念（SDRG全体）
define.xmlと並ぶ提出時の説明資料の中核
👉 SDRG全体理解のコア資料（★★★）</text>
  </threadedComment>
  <threadedComment ref="D37" dT="2026-06-30T01:58:12.65" personId="{B943F829-6134-4124-955E-97F4C90B27D1}" id="{E80DFD9F-C25A-40BC-9E7E-8756DD0B0789}">
    <text>👉 判定理由
実際のSDRG完成版（提出レベル）
（Issue Summary）・（方針）の最終アウトプット
define.xmlと並ぶ提出パッケージの本体資料
👉 SDTM提出ドキュメントの最終形（★★★）</text>
  </threadedComment>
  <threadedComment ref="D38" dT="2026-06-30T02:14:05.01" personId="{B943F829-6134-4124-955E-97F4C90B27D1}" id="{815D557B-8408-4C48-90F6-59685920D3DB}">
    <text>★★★
👉 判定理由
プロジェクト全体（EDC～SDRGまで）を横断的に総括
実務で起きる問題（組織・プロセス）を明示
技術ではなく「運用」の本質を示した資料
👉 SDTM全体をまとめる“最終統括資料”（★★★）</text>
  </threadedComment>
  <threadedComment ref="D39" dT="2026-06-30T02:24:22.60" personId="{B943F829-6134-4124-955E-97F4C90B27D1}" id="{BE83D7CF-CD90-4078-ADEE-2DC638C87954}">
    <text>👉 判定理由
中間解析という“非定常ケース”のSDTM設計を網羅
PMDA提出前提の実務判断・設計方針を具体化
通常SDTMとのギャップ（継続データ・未確定値）を扱う
👉 実務で最難関クラスの応用資料（★★★）</text>
  </threadedComment>
  <threadedComment ref="D40" dT="2026-06-30T04:34:25.68" personId="{B943F829-6134-4124-955E-97F4C90B27D1}" id="{53F053F4-1748-4716-B022-BAD88EEA39F0}">
    <text>👉 判定理由
Legacy Data Conversion（LDC）という実務の難所を網羅
SDTM変換の“前工程（レガシー移行）”のリアル課題
PMDA対応・辞書・CT・Mappingなど実務トラブルの宝庫
👉 実務トラブル対応力を上げる最重要資料（★★★）</text>
  </threadedComment>
  <threadedComment ref="D41" dT="2026-06-30T05:05:01.57" personId="{B943F829-6134-4124-955E-97F4C90B27D1}" id="{F636B1CD-0F88-4B22-9B21-01D3520B9DDF}">
    <text>👉 判定理由
PMDA電子データ提出の必須ドキュメント（Form A/B）を体系化
SDTM提出そのものではなく、規制とのインターフェースを扱う
（define）、（SDRG）を外部に説明する役割
👉 提出プロセス理解の中核資料（★★★）</text>
  </threadedComment>
  <threadedComment ref="D42" dT="2026-06-30T06:12:50.07" personId="{B943F829-6134-4124-955E-97F4C90B27D1}" id="{ED887A8A-1B50-40BB-98A1-F97275896983}">
    <text>👉 判定理由
P21で検出できないSDTM問題を体系的に整理した唯一クラス資料
実務で最も致命的な「すり抜けIssue」を網羅
QC・Validation・Mappingの“限界”を明示
👉 品質保証の本質を示す最重要資料（★★★）</text>
  </threadedComment>
  <threadedComment ref="D43" dT="2026-06-30T07:01:38.52" personId="{B943F829-6134-4124-955E-97F4C90B27D1}" id="{4D89581D-5B51-4BC0-BC63-421368FD273E}">
    <text>👉 判定理由
「LDC」をさらに実務寄りに具体化した超実践資料
“他人が作ったデータ”という最悪ケースに対する標準手順
PMDA実務・見積・QC・交渉までカバー
👉 実務対応力を決定づける超重要資料（★★★）</text>
  </threadedComment>
  <threadedComment ref="D45" dT="2026-07-01T02:24:14.00" personId="{B943F829-6134-4124-955E-97F4C90B27D1}" id="{07B2B4C1-5E5C-47CB-A7A0-D39BC3E36533}">
    <text>👉 判定理由
Form A/B（別紙8）の実運用・外部委託のリアルな実態
056（LDC）や054（Form A）と直結
“誰が作るべきか・どう作るか”の戦略論
👉 Submission実務の意思決定に直結（★★★）</text>
  </threadedComment>
  <threadedComment ref="D46" dT="2026-07-01T06:38:20.28" personId="{B943F829-6134-4124-955E-97F4C90B27D1}" id="{18F6503C-29EC-4FC1-8C1E-C79C285441CF}">
    <text>👉判定理由
・SDTM・ADaM作成の入出力・依存関係・工程設計が明示されている
・Define.xml／SDRG／Validationの位置づけを構造的に理解できる
・実務の“個別テクニック”ではなく、設計思考そのものを提供
👉CDISC全体プロセス（CDASH → SDTM → ADaM）を体系的に整理した唯一の資料（★★★）</text>
  </threadedComment>
  <threadedComment ref="D47" dT="2026-07-01T07:08:01.16" personId="{B943F829-6134-4124-955E-97F4C90B27D1}" id="{E99C027B-D5D9-4712-8A36-9BD6A417AB53}">
    <text>👉判定理由
・Form A廃止後の説明責任をcSDRGに集約する前提を規定している
・Define.xml・SDRG・ADRG間の記載分担ルールを実務レベルで具体化している
・Validation（Rule ID記載・Issue説明）の書き方＝レビュー通過要件に直結する
・TraceabilityやLDCPの扱いなど申請パッケージ整合の設計ルールを明示している</text>
  </threadedComment>
  <threadedComment ref="D48" dT="2026-07-01T07:24:00.71" personId="{B943F829-6134-4124-955E-97F4C90B27D1}" id="{5DEFDEB9-0FBD-46F6-AB6A-F534454D76A5}">
    <text xml:space="preserve">👉判定理由
・cSDRG Tips集の背景・意図・判断根拠を補足する資料
・Form A廃止後のcSDRG統合方針の考え方を明示
・Traceability・Validation・分担設計の判断思想を補強
👉設計の根拠理解には重要だが具体的に「どう書くか」の記載はなく、単独では設計不可 のため ★★です 👍
</text>
  </threadedComment>
  <threadedComment ref="D49" dT="2026-07-01T23:40:40.15" personId="{B943F829-6134-4124-955E-97F4C90B27D1}" id="{9E04AED1-EF75-4E2B-816B-C982B8838265}">
    <text>判定理由
・cSDRG作成時の記載方針だけでなく、PMDA技術的ガイド、申請電子データ通知、FAQの要求事項を実務レベルへ落とし込んでいる。
・Define.xml、SDRG、ADRG、LDCPの責任分担と記載場所を具体的に規定している。
・日本語データ、翻訳、SI単位変換、SUPP運用、PC-PPトレーサビリティ等、申請時に設計判断が必要なテーマの実装方針を提示している。</text>
  </threadedComment>
  <threadedComment ref="D50" dT="2026-07-01T23:41:56.23" personId="{B943F829-6134-4124-955E-97F4C90B27D1}" id="{4E32FECB-414A-4AB8-B458-51A88F486407}">
    <text>判定理由
・cSDRG Tips集 Version2.0 の作成背景・検討方法・追加内容を説明する紹介資料である。 
・PMDA通知・技術的ガイド・FAQとcSDRGの関係を整理しており、実装判断の根拠を提供している。
・一方で、具体的な実装ルールや記載要件そのものはVersion2.0本体（054）に記載されている。</text>
  </threadedComment>
  <threadedComment ref="D51" dT="2026-07-01T23:58:34.23" personId="{B943F829-6134-4124-955E-97F4C90B27D1}" id="{F18EB3CD-521D-4D58-A12C-DC00BAABB2DE}">
    <text>判定理由
・FDA提出済パッケージをPMDA提出用へ変換する際の設計判断基準を提示している。 
・SDTM修正要否、RELREC対応、SI単位対応、SDTMIGバージョン差異対応、
LDCP説明方針など申請設計に直接影響する。
・修正する／修正しないの判断をトレーサビリティ維持とPMDA要求事項の観点から整理しており、誤るとSubmission全体の整合性が崩れる。</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6-29T02:56:39.26" personId="{B943F829-6134-4124-955E-97F4C90B27D1}" id="{B89A4483-E8DB-4769-BB1D-85C65C509A18}">
    <text>&lt;プロンプト&gt;
Ⅰ No / Zipファイル名 / 資料名
👉 入力値そのまま（加工禁止）</text>
  </threadedComment>
  <threadedComment ref="F1" dT="2026-07-01T00:58:41.98" personId="{BFD24BBB-FAA3-48FD-912E-2192A2B605F4}" id="{0F7AC260-D957-4593-BF97-8D24F14DAA88}">
    <text>zipファイル名，資料名（ファイル名）のうち，分かりやすいものを選択</text>
  </threadedComment>
  <threadedComment ref="H1" dT="2026-06-29T02:58:08.05" personId="{B943F829-6134-4124-955E-97F4C90B27D1}" id="{86138E9E-3E8B-4BA9-B35C-B55F50B213E6}">
    <text>Ⅱ 重要度
&lt;プロンプト&gt;
この資料がSDTM実務における意思決定や設計に与える影響度を、★〜★★★で評価せよ
★：文脈理解・情報共有（設計・判断には基本影響しない）
★★：設計・実装における判断の選択肢や根拠を提供する
★★★：設計の前提・原則・必須方針を規定する（従わないと整合性が崩れる）
【判断基準（必ず参照）】
★：知らなくても設計できる
★★：知らないと実装判断で迷う
★★★：知らないと設計を誤る
※内容の長さ・難易度ではなく「設計影響度」で判断すること
■ 出力形式（厳守）
★
★★
★★★</text>
  </threadedComment>
  <threadedComment ref="I1" dT="2026-06-29T02:59:02.00" personId="{B943F829-6134-4124-955E-97F4C90B27D1}" id="{D6D5DCAD-CE70-4BF3-964F-87D0AE70A98D}">
    <text>Ⅲ Table of Contents
&lt;プロンプト&gt;
本資料の論点構造を「実務的に意味のある単位」で5〜8個に分解し、
名詞句で / 区切りで簡潔に列挙せよ
■ 出力ルール（厳守）
名詞句のみ（動詞禁止）
最大8個
具体トピック単位（章タイトルの写経禁止）
■ 出力例
背景 / 実務課題 / Validation問題 / アプローチ / 実装方法 / 適用範囲 / 結論</text>
  </threadedComment>
  <threadedComment ref="J1" dT="2026-06-29T03:00:31.35" personId="{B943F829-6134-4124-955E-97F4C90B27D1}" id="{AC465F50-9C8A-4029-A0AE-7437134A5944}">
    <text>Ⅳ Summary（最重要）
&lt;プロンプト&gt;
本資料を「実務者が判断に使えるレベル」で詳細に要約せよ。
以下構造を必ず守り、
実務課題 → 原因 → 何が問題 → 解決アプローチ の流れで記載すること。
抽象的説明は禁止し、SDTM実装・Validation・Define.xml等の具体文脈で記載すること。
■ 出力構造（完全固定）
【概要】
（資料の対象と位置づけ）
【実務課題】
①
②
③
【原因・背景】
①
②
【解決アプローチ／示唆】
①
②
③
&lt;重要度別ルール（追加）&gt;
★：
・簡潔に記載（概要＋最低限のポイントのみ）
・実務課題の深掘りは不要（1〜2点で可）
・長文化しない（ナレッジ蓄積対象外）
★★：
・実務課題・判断ポイントを中心に記載
★★★：
・設計判断に使えるレベルで詳細に記載（長文化推奨）
■ 重要補足（追加：他社向けガード）
※長文可（むしろ推奨）
※ただしストーリー的文章ではなく、構造化して記載すること
※一般論・教科書的説明は禁止</text>
  </threadedComment>
  <threadedComment ref="K1" dT="2026-06-29T03:00:31.35" personId="{B943F829-6134-4124-955E-97F4C90B27D1}" id="{44FA241B-8F12-4D23-A65A-89B7FD335F70}">
    <text>Ⅳ Summary（最重要）
&lt;プロンプト&gt;
本資料を「実務者が判断に使えるレベル」で詳細に要約せよ。
以下構造を必ず守り、
実務課題 → 原因 → 何が問題 → 解決アプローチ の流れで記載すること。
抽象的説明は禁止し、SDTM実装・Validation・Define.xml等の具体文脈で記載すること。
■ 出力構造（完全固定）
【概要】
（資料の対象と位置づけ）
【実務課題】
①
②
③
【原因・背景】
①
②
【解決アプローチ／示唆】
①
②
③
&lt;重要度別ルール（追加）&gt;
★：
・簡潔に記載（概要＋最低限のポイントのみ）
・実務課題の深掘りは不要（1〜2点で可）
・長文化しない（ナレッジ蓄積対象外）
★★：
・実務課題・判断ポイントを中心に記載
★★★：
・設計判断に使えるレベルで詳細に記載（長文化推奨）
■ 重要補足（追加：他社向けガード）
※長文可（むしろ推奨）
※ただしストーリー的文章ではなく、構造化して記載すること
※一般論・教科書的説明は禁止</text>
  </threadedComment>
  <threadedComment ref="N1" dT="2026-06-29T03:01:16.55" personId="{B943F829-6134-4124-955E-97F4C90B27D1}" id="{44C49242-4FC7-4C13-9348-3CB828F2B660}">
    <text>Ⅴ 利用目的
&lt;プロンプト&gt;
本資料を「どの意思決定・設計判断の場面で使うか」を、
実務シナリオとして具体的に3〜5個記述せよ
■ 出力形式
・〜ときに使用
・〜を判断するときに使用
■ NG（明示）
「参考にする」
「理解を深める」</text>
  </threadedComment>
  <threadedComment ref="O1" dT="2026-06-29T04:08:02.93" personId="{B943F829-6134-4124-955E-97F4C90B27D1}" id="{B04765FE-A605-4060-B375-48E04390CAD8}">
    <text>Ⅵ 対象成果物 / ドメイン
■ プロンプト①（成果物）
本資料が直接影響する成果物をCDISC成果物単位で列挙せよ
● 出力形式
SDTM / ADaM / Define.xml / SDRG / ADRG / Dataset-XML
■ プロンプト②（ドメイン）
本資料が主に影響するドメインまたは変数カテゴリを列挙せよ（最大8個）
● 出力形式
DM / AE / LB / VS / RELREC / TS
● ルール（重要）
・ドメイン名または変数カテゴリに限定
・「全ドメイン」は禁止
・曖昧表現を使わない</text>
  </threadedComment>
  <threadedComment ref="P1" dT="2026-06-29T04:09:19.72" personId="{B943F829-6134-4124-955E-97F4C90B27D1}" id="{F0A8AD48-9F39-40DB-8902-11895DD7EB2F}">
    <text>Ⅶ 資料作成日
年（YYYY）で統一する</text>
  </threadedComment>
  <threadedComment ref="H2" dT="2026-06-29T05:08:19.21" personId="{B943F829-6134-4124-955E-97F4C90B27D1}" id="{E7CDF379-32CC-40EB-845C-674FAA97BE77}">
    <text>👉 判定理由
Validationを「ツール依存」から「設計可能なルール」に変えるアプローチ
P21未対応領域（APドメイン等）では代替手段がない
適用しない場合、Data/Define.xml整合性の説明・制御が困難
👉 Validation設計そのものに関わる = 設計前提</text>
  </threadedComment>
  <threadedComment ref="H3" dT="2026-06-29T05:12:03.64" personId="{B943F829-6134-4124-955E-97F4C90B27D1}" id="{D1E97A88-FD89-4693-AD1B-4A54AC724F4B}">
    <text>👉 判定理由
STUDYID・DM・--DYなどSDTMコア設計の前提を規定
誤るとValidationが成立しない／レビュー不可になる
実装選択ではなく「必須設計方針」レベル
👉 設計が成立する／しないを分ける資料</text>
  </threadedComment>
  <threadedComment ref="H4" dT="2026-06-29T05:24:58.20" personId="{B943F829-6134-4124-955E-97F4C90B27D1}" id="{A07F4398-32E5-4562-9AA6-EBE371B227E5}">
    <text>👉 判定理由
SDTMIGで不足する領域の設計方針（どう拡張するか）を規定
TAUGを使わないと、疾患特有データの格納方法が定義できない
NSV・ドメイン選択・モデリングが破綻
👉 SDTM拡張設計の前提</text>
  </threadedComment>
  <threadedComment ref="H5" dT="2026-06-29T05:29:55.08" personId="{B943F829-6134-4124-955E-97F4C90B27D1}" id="{8C49B279-9939-49D5-A43D-2AB46F364200}">
    <text>👉 判定理由
CT・Dataset・Variableの統一ルール（企業横断）を規定
統一しないとISS/ISE・提出データ統合が成立しない
PMDA要求（同一NDA内でのCT統一）に直結
👉 データ統合設計の前提</text>
  </threadedComment>
  <threadedComment ref="H6" dT="2026-06-29T05:58:12.51" personId="{B943F829-6134-4124-955E-97F4C90B27D1}" id="{CD282932-0C95-4575-8500-D97E6AC0B668}">
    <text>👉 判定理由
Define.xml設計の中核（VLM設計方針）を扱う
誤るとValidation通過・説明可能性が破綻
かつ明確な規制がない領域＝設計判断を必須化する領域
👉 Define.xml設計の根幹</text>
  </threadedComment>
  <threadedComment ref="H7" dT="2026-06-29T06:47:24.02" personId="{B943F829-6134-4124-955E-97F4C90B27D1}" id="{2DDFDE0D-6005-4BC6-89FD-C94B777F169D}">
    <text>👉 判定理由
CT（Controlled Terminology）の全社管理戦略・運用設計を扱う
SDTM/ADaM/統合解析すべてに影響する基盤レイヤー
実装・運用・統合まで横断的に効く
👉 メタデータ統制のコア中のコア（★★★）</text>
  </threadedComment>
  <threadedComment ref="N7" dT="2026-06-29T06:55:57.55" personId="{B943F829-6134-4124-955E-97F4C90B27D1}" id="{FB5314EB-98EA-400B-B4F2-2DC260FFEA3C}">
    <text>✅ 補足（超重要）
これは今回の中でトップクラスに重要です👇
✔ 本質
👉 問題はこれ
CTは変わる
試験は複数ある
👉 結果
→ データが繋がらない
✔ 解決の本質
👉 CTを直接使わない
👉「内部コードレイヤー」を作る
✔ レイヤー構造
CDISC CT（外部） ↓ 組織コード（内部） ↓ CRF / SDTM / ADaM ↓ 統合解析 
👉 これが核心
✔ 強いポイント
Study依存を排除
CT更新に強い
統合解析が楽
Traceability維持
✅ 全体構造（完成）
★★★層が確定👇
023：CT基本
030：VLM設計
038：CT管理戦略 ←中核
👉 これで
「メタデータ統制（CT / VLM / Custom）」完全攻略 👍</text>
  </threadedComment>
  <threadedComment ref="H8" dT="2026-06-29T06:57:57.54" personId="{B943F829-6134-4124-955E-97F4C90B27D1}" id="{4D2A62F1-3F64-4C2E-9F7D-5636D40D7842}">
    <text>👉 判定理由
FDA Validator / Business / Conformance Rulesの構造・差分・背景を整理
P21 Validationの本質理解に直結
PMDAルールとの関係も含めた規制横断理解
👉 Validation戦略のコア資料（★★★）</text>
  </threadedComment>
  <threadedComment ref="H9" dT="2026-06-29T07:07:56.32" personId="{B943F829-6134-4124-955E-97F4C90B27D1}" id="{80A1EF89-AF02-473D-A825-7F25E1E95AC8}">
    <text>👉 判定理由
DMドメインのRACE（人種）の定義・収集・CT・Validationを横断
FDAガイダンス、CT仕様、P21 Validationの矛盾を扱う重要テーマ
実務で必ず揉める領域
👉 DM/CT/Validationの交差点（★★★）</text>
  </threadedComment>
  <threadedComment ref="H10" dT="2026-06-29T07:16:58.45" personId="{B943F829-6134-4124-955E-97F4C90B27D1}" id="{82B2A340-D396-42BE-8569-1626E36D9289}">
    <text>👉 判定理由
SDTM QCの**全体戦略（何を・いつ・どうやるか）**を体系化
実務のボトルネック（リソース不足）に対する解決策を提示
Validationと直結する運用品質の中核
👉 QC運用設計のコア資料（★★★）</text>
  </threadedComment>
  <threadedComment ref="H11" dT="2026-06-29T07:32:03.87" personId="{B943F829-6134-4124-955E-97F4C90B27D1}" id="{FB343AF9-39A2-42FA-9801-7226B451A994}">
    <text>👉 判定理由
SDTMをレビュー（中央モニタリング）に直接活用する実践例
「提出用」から「業務活用」への転換を扱う
BI・可視化・RBMと連携
👉 SDTM活用フェーズの中核（★★★）</text>
  </threadedComment>
  <threadedComment ref="H12" dT="2026-06-29T23:38:15.00" personId="{B943F829-6134-4124-955E-97F4C90B27D1}" id="{D4013B40-7565-4D32-9090-DD64688E4F33}">
    <text>👉 判定理由
Trial Design（TS/TI/TA）の実践的な修正・運用問題を詳細に扱う
プロトコル変更・EPOCH整合・Validation限界など実務の本質問題を網羅
「なぜTDはいつも崩れるのか」が分かる
👉 Trial Design実務の最重要資料（★★★）</text>
  </threadedComment>
  <threadedComment ref="H13" dT="2026-06-30T00:06:12.46" personId="{B943F829-6134-4124-955E-97F4C90B27D1}" id="{40660684-05C4-4D94-A5D1-00594BC95855}">
    <text>👉 判定理由
**Pinnacle21 Validationの“実運用”**をそのまま再現
エラー原因（EDC / Mapping / Coding）を体系的に分解
Issue Summary（SDRG）作成までカバー
👉 Validation実務の最重要実践資料（★★★）</text>
  </threadedComment>
  <threadedComment ref="H14" dT="2026-06-30T00:37:04.61" personId="{B943F829-6134-4124-955E-97F4C90B27D1}" id="{DCC253D6-3409-4FAD-B9F8-196A8FCFC7D1}">
    <text>👉 判定理由
AE / MH / CM の実コード体系（MedDRA / ATC）を完全実装した実データ
Coding運用（LLT→PT→SOC）をそのまま確認可能
Validation・Review・QCすべてに直結
👉 Coding実務のコア資料（★★★）</text>
  </threadedComment>
  <threadedComment ref="Q14" dT="2026-07-02T04:47:04.12" personId="{B943F829-6134-4124-955E-97F4C90B27D1}" id="{1AA094F0-194C-4D6A-B54F-51D0C3F37309}">
    <text>重複:Yが2個目以降～</text>
  </threadedComment>
  <threadedComment ref="H15" dT="2026-06-30T00:41:52.54" personId="{B943F829-6134-4124-955E-97F4C90B27D1}" id="{D44B3D13-7300-4697-9EB5-139B2C07F5D0}">
    <text>👉 判定理由
SDRG（提出文書）におけるIssue Summaryの実例
Validation結果をどう説明するかという最終工程
規制対応（PMDA / FDA）に直結
👉 Submission品質の最終アウトプット（★★★）</text>
  </threadedComment>
  <threadedComment ref="Q15" dT="2026-07-02T04:47:43.68" personId="{B943F829-6134-4124-955E-97F4C90B27D1}" id="{CCFF4D77-F4C6-4971-BA46-A155CFB907C8}">
    <text>重複:Yが2個目以降～</text>
  </threadedComment>
  <threadedComment ref="H16" dT="2026-06-30T01:02:58.06" personId="{B943F829-6134-4124-955E-97F4C90B27D1}" id="{66159B8C-B9F2-46FF-9817-D49DA36F35A0}">
    <text>👉 判定理由
define.xml作成・バリデーション・クロスチェックの実務課題を網羅
Datasetとの整合（XPT vs metadata）の問題を具体的に提示
SDTM提出パッケージの最重要メタデータ領域
👉 Submissionメタデータのコア資料（★★★）</text>
  </threadedComment>
  <threadedComment ref="H17" dT="2026-06-30T01:55:29.23" personId="{B943F829-6134-4124-955E-97F4C90B27D1}" id="{59D9A74C-550E-40BA-BB8A-E50E4D57F6A9}">
    <text>👉 判定理由
SDRGの全文構成・作成プロセス・実務判断を網羅
（Issue Summary）の上位概念（SDRG全体）
define.xmlと並ぶ提出時の説明資料の中核
👉 SDRG全体理解のコア資料（★★★）</text>
  </threadedComment>
  <threadedComment ref="H18" dT="2026-06-30T01:58:12.65" personId="{B943F829-6134-4124-955E-97F4C90B27D1}" id="{9561BB4E-0352-4B16-970D-BD974133D6E4}">
    <text>👉 判定理由
実際のSDRG完成版（提出レベル）
（Issue Summary）・（方針）の最終アウトプット
define.xmlと並ぶ提出パッケージの本体資料
👉 SDTM提出ドキュメントの最終形（★★★）</text>
  </threadedComment>
  <threadedComment ref="Q18" dT="2026-07-02T04:48:08.57" personId="{B943F829-6134-4124-955E-97F4C90B27D1}" id="{3B4886CD-8698-4453-9522-6F65441EAB3C}">
    <text>重複:Yが2個目以降～</text>
  </threadedComment>
  <threadedComment ref="H19" dT="2026-06-30T02:14:05.01" personId="{B943F829-6134-4124-955E-97F4C90B27D1}" id="{BD109534-90EA-436D-9225-BE3E68200E2D}">
    <text>★★★
👉 判定理由
プロジェクト全体（EDC～SDRGまで）を横断的に総括
実務で起きる問題（組織・プロセス）を明示
技術ではなく「運用」の本質を示した資料
👉 SDTM全体をまとめる“最終統括資料”（★★★）</text>
  </threadedComment>
  <threadedComment ref="H20" dT="2026-06-30T02:24:22.60" personId="{B943F829-6134-4124-955E-97F4C90B27D1}" id="{4B076FF4-2DF6-45DF-A6C0-836926BD51C2}">
    <text>👉 判定理由
中間解析という“非定常ケース”のSDTM設計を網羅
PMDA提出前提の実務判断・設計方針を具体化
通常SDTMとのギャップ（継続データ・未確定値）を扱う
👉 実務で最難関クラスの応用資料（★★★）</text>
  </threadedComment>
  <threadedComment ref="H21" dT="2026-06-30T04:34:25.68" personId="{B943F829-6134-4124-955E-97F4C90B27D1}" id="{396D8A49-F37B-4701-9DD5-2ECF57304E6A}">
    <text>👉 判定理由
Legacy Data Conversion（LDC）という実務の難所を網羅
SDTM変換の“前工程（レガシー移行）”のリアル課題
PMDA対応・辞書・CT・Mappingなど実務トラブルの宝庫
👉 実務トラブル対応力を上げる最重要資料（★★★）</text>
  </threadedComment>
  <threadedComment ref="H22" dT="2026-06-30T05:05:01.57" personId="{B943F829-6134-4124-955E-97F4C90B27D1}" id="{F17E5489-33C3-487B-B361-0439441066CB}">
    <text>👉 判定理由
PMDA電子データ提出の必須ドキュメント（Form A/B）を体系化
SDTM提出そのものではなく、規制とのインターフェースを扱う
（define）、（SDRG）を外部に説明する役割
👉 提出プロセス理解の中核資料（★★★）</text>
  </threadedComment>
  <threadedComment ref="H23" dT="2026-06-30T06:12:50.07" personId="{B943F829-6134-4124-955E-97F4C90B27D1}" id="{F16ED7C7-AC76-4885-B8FE-E6A0B86D65B3}">
    <text>👉 判定理由
P21で検出できないSDTM問題を体系的に整理した唯一クラス資料
実務で最も致命的な「すり抜けIssue」を網羅
QC・Validation・Mappingの“限界”を明示
👉 品質保証の本質を示す最重要資料（★★★）</text>
  </threadedComment>
  <threadedComment ref="H24" dT="2026-06-30T07:01:38.52" personId="{B943F829-6134-4124-955E-97F4C90B27D1}" id="{52529D36-176E-47DC-9AD3-E3A7F1EABC44}">
    <text>👉 判定理由
「LDC」をさらに実務寄りに具体化した超実践資料
“他人が作ったデータ”という最悪ケースに対する標準手順
PMDA実務・見積・QC・交渉までカバー
👉 実務対応力を決定づける超重要資料（★★★）</text>
  </threadedComment>
  <threadedComment ref="Q25" dT="2026-07-02T04:48:47.94" personId="{B943F829-6134-4124-955E-97F4C90B27D1}" id="{2778F6FB-FC82-4EAD-95DE-40FA6FC43CE7}">
    <text>重複:Yが2個目以降～</text>
  </threadedComment>
  <threadedComment ref="H26" dT="2026-07-01T02:24:14.00" personId="{B943F829-6134-4124-955E-97F4C90B27D1}" id="{EC17AAE7-9A07-41AE-B627-B8C8149BCEE7}">
    <text>👉 判定理由
Form A/B（別紙8）の実運用・外部委託のリアルな実態
056（LDC）や054（Form A）と直結
“誰が作るべきか・どう作るか”の戦略論
👉 Submission実務の意思決定に直結（★★★）</text>
  </threadedComment>
  <threadedComment ref="H27" dT="2026-07-01T06:38:20.28" personId="{B943F829-6134-4124-955E-97F4C90B27D1}" id="{14F0C475-8217-4D7F-882D-FDAE0755A76C}">
    <text>👉判定理由
・SDTM・ADaM作成の入出力・依存関係・工程設計が明示されている
・Define.xml／SDRG／Validationの位置づけを構造的に理解できる
・実務の“個別テクニック”ではなく、設計思考そのものを提供
👉CDISC全体プロセス（CDASH → SDTM → ADaM）を体系的に整理した唯一の資料（★★★）</text>
  </threadedComment>
  <threadedComment ref="N27" dT="2026-07-02T01:59:03.45" personId="{B943F829-6134-4124-955E-97F4C90B27D1}" id="{D2B73911-6773-48D6-AF9C-87B0BD01EE5A}">
    <text>&lt;変更前&gt;
・CDISC標準導入の全体像理解
・SDTM/ADaM作成プロセスの把握
・初心者教育・オンボーディング
・業務プロセス設計（SOP作成含む）
・組織導入時の検討項目整理</text>
  </threadedComment>
  <threadedComment ref="H28" dT="2026-07-01T07:08:01.16" personId="{B943F829-6134-4124-955E-97F4C90B27D1}" id="{BC9492DC-3115-4CE8-9506-4BF7B9B7CF8F}">
    <text>👉判定理由
・Form A廃止後の説明責任をcSDRGに集約する前提を規定している
・Define.xml・SDRG・ADRG間の記載分担ルールを実務レベルで具体化している
・Validation（Rule ID記載・Issue説明）の書き方＝レビュー通過要件に直結する
・TraceabilityやLDCPの扱いなど申請パッケージ整合の設計ルールを明示している</text>
  </threadedComment>
  <threadedComment ref="H29" dT="2026-07-01T23:40:40.15" personId="{B943F829-6134-4124-955E-97F4C90B27D1}" id="{9B15F665-FEA4-453E-9768-03603A98B947}">
    <text>判定理由
・cSDRG作成時の記載方針だけでなく、PMDA技術的ガイド、申請電子データ通知、FAQの要求事項を実務レベルへ落とし込んでいる。
・Define.xml、SDRG、ADRG、LDCPの責任分担と記載場所を具体的に規定している。
・日本語データ、翻訳、SI単位変換、SUPP運用、PC-PPトレーサビリティ等、申請時に設計判断が必要なテーマの実装方針を提示している。</text>
  </threadedComment>
  <threadedComment ref="H30" dT="2026-07-01T23:58:34.23" personId="{B943F829-6134-4124-955E-97F4C90B27D1}" id="{FB736FB7-70D5-4950-AA81-4A80E88A0EC0}">
    <text>判定理由
・FDA提出済パッケージをPMDA提出用へ変換する際の設計判断基準を提示している。 
・SDTM修正要否、RELREC対応、SI単位対応、SDTMIGバージョン差異対応、
LDCP説明方針など申請設計に直接影響する。
・修正する／修正しないの判断をトレーサビリティ維持とPMDA要求事項の観点から整理しており、誤るとSubmission全体の整合性が崩れる。</text>
  </threadedComment>
  <threadedComment ref="H31" dT="2026-06-29T05:00:47.52" personId="{B943F829-6134-4124-955E-97F4C90B27D1}" id="{D8FEF203-C8AA-415B-9BC3-7764B6623003}">
    <text>👉 判定理由（内部ロジック）
実務判断（PPドメイン・言語運用）には影響する
ただし従わなくてもSDTM自体は構築可能
設計の「前提」ではなく「判断材料」</text>
  </threadedComment>
  <threadedComment ref="H32" dT="2026-06-29T05:01:20.23" personId="{B943F829-6134-4124-955E-97F4C90B27D1}" id="{5E307CB3-ABAB-48E7-89C2-F8AB2913D0D5}">
    <text>👉 判定理由（内部ロジック）
翻訳依存は設計ミス要因になるが、従わなくてもSDTM構築自体は可能
設計の「必須前提」ではなく「判断・注意事項」
他にも成立している実装パターンが存在する</text>
  </threadedComment>
  <threadedComment ref="H33" dT="2026-06-29T05:49:33.11" personId="{B943F829-6134-4124-955E-97F4C90B27D1}" id="{0E908632-8F2F-47FF-A714-EACB5D05D2E0}">
    <text>👉 判定理由
TAUGの具体的実装例・詳細モデリングを提供
設計判断（TU/TR/RS、NSV、RELREC）に強く影響する
ただしTAUG自体を補助する位置であり、必須前提ではない
👉 実装判断レベル</text>
  </threadedComment>
  <threadedComment ref="Q33" dT="2026-07-02T04:49:22.12" personId="{B943F829-6134-4124-955E-97F4C90B27D1}" id="{74F323A5-8F4A-49B2-BE6B-F7F44D97277C}">
    <text>重複:Yが2個目以降～</text>
  </threadedComment>
  <threadedComment ref="H34" dT="2026-06-29T05:53:50.18" personId="{B943F829-6134-4124-955E-97F4C90B27D1}" id="{7AE6BBC8-C37B-4C83-99C7-F2D571B4AEB0}">
    <text xml:space="preserve">👉 判定理由
腫瘍データ（TU/TR/RS）の具体実装ロジックを示す
実装判断には強く影響するが
TAUGなしでも理論上は設計可能
👉 実装ガイド（強い★★）
</text>
  </threadedComment>
  <threadedComment ref="Q34" dT="2026-07-02T04:49:27.18" personId="{B943F829-6134-4124-955E-97F4C90B27D1}" id="{007CBAD2-DF5D-4580-9EA8-F3B115D170D6}">
    <text>重複:Yが2個目以降～</text>
  </threadedComment>
  <threadedComment ref="H35" dT="2026-06-29T06:29:45.79" personId="{B943F829-6134-4124-955E-97F4C90B27D1}" id="{F4120CBC-7906-4114-9B94-012D7CFBF8C7}">
    <text>👉 判定理由
Trial Design Dataset（TA/TE/TI/TS/TV）の実装・PGM設計・Validationを扱う
実務（Spec作成・SAS・P21対応）に直結
ただし原則（IG/Define/XML）なしでも理論上は代替可能
👉 実装レイヤーの強い資料（★★）</text>
  </threadedComment>
  <threadedComment ref="H36" dT="2026-06-29T06:34:05.61" personId="{B943F829-6134-4124-955E-97F4C90B27D1}" id="{CF41451E-18B6-4186-8DDB-E13F59554B90}">
    <text>👉 判定理由
SDTMデータのRによる処理・分析・レポーティングを扱う
実務効率（DM・Programming）の改善に直結
ただし提出要件ではないため★★
👉 実装効率化・ツール活用のコア資料</text>
  </threadedComment>
  <threadedComment ref="H37" dT="2026-06-29T06:40:20.81" personId="{B943F829-6134-4124-955E-97F4C90B27D1}" id="{46C5D055-E2BA-4EFD-8CE1-9BB83948127E}">
    <text>👉 判定理由
Custom Domainの**実態（使用状況・体制・課題）**を把握できる
実務判断（作るか・どう作るか）に影響
ただし設計原則そのものではないため★★
👉 実務意思決定（Custom Domain採用判断）に効く資料</text>
  </threadedComment>
  <threadedComment ref="H38" dT="2026-06-29T07:34:58.40" personId="{B943F829-6134-4124-955E-97F4C90B27D1}" id="{6FEF2EAF-FC8C-4FA1-B6C3-C1B50BDF6B8F}">
    <text>👉 判定理由
SDTM × AIの応用可能性探索
実務への直接適用はまだ限定的
ただし「次の進化方向」を示す重要資料
👉 未来志向（応用・研究系）ポジション</text>
  </threadedComment>
  <threadedComment ref="H39" dT="2026-07-01T07:24:00.71" personId="{B943F829-6134-4124-955E-97F4C90B27D1}" id="{92A1CA09-86BA-4371-AE2F-3543B93D0771}">
    <text xml:space="preserve">👉判定理由
・cSDRG Tips集の背景・意図・判断根拠を補足する資料
・Form A廃止後のcSDRG統合方針の考え方を明示
・Traceability・Validation・分担設計の判断思想を補強
👉設計の根拠理解には重要だが具体的に「どう書くか」の記載はなく、単独では設計不可 のため ★★です 👍
</text>
  </threadedComment>
  <threadedComment ref="Q39" dT="2026-07-02T04:49:38.71" personId="{B943F829-6134-4124-955E-97F4C90B27D1}" id="{CFE7EBAD-E55B-4359-B36B-A57DAAFA12B5}">
    <text>重複:Yが2個目以降～</text>
  </threadedComment>
  <threadedComment ref="H40" dT="2026-07-01T23:41:56.23" personId="{B943F829-6134-4124-955E-97F4C90B27D1}" id="{9AE42D1B-63D8-4B6C-9ED8-954F77D26A71}">
    <text>判定理由
・cSDRG Tips集 Version2.0 の作成背景・検討方法・追加内容を説明する紹介資料である。 
・PMDA通知・技術的ガイド・FAQとcSDRGの関係を整理しており、実装判断の根拠を提供している。
・一方で、具体的な実装ルールや記載要件そのものはVersion2.0本体（054）に記載されている。</text>
  </threadedComment>
  <threadedComment ref="Q40" dT="2026-07-02T04:49:43.64" personId="{B943F829-6134-4124-955E-97F4C90B27D1}" id="{C1470A54-5B4E-4AEF-A76B-5C782A0F1F7F}">
    <text>重複:Yが2個目以降～</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9C8C7-7FC3-4AD9-8C7F-8C520B637442}">
  <dimension ref="A2:D96"/>
  <sheetViews>
    <sheetView workbookViewId="0">
      <pane ySplit="2" topLeftCell="A3" activePane="bottomLeft" state="frozen"/>
      <selection pane="bottomLeft" activeCell="H86" sqref="H86"/>
    </sheetView>
  </sheetViews>
  <sheetFormatPr defaultRowHeight="18.75" x14ac:dyDescent="0.4"/>
  <cols>
    <col min="1" max="3" width="9" style="19"/>
    <col min="4" max="4" width="54.25" style="19" customWidth="1"/>
    <col min="5" max="16384" width="9" style="19"/>
  </cols>
  <sheetData>
    <row r="2" spans="1:4" x14ac:dyDescent="0.4">
      <c r="A2" s="18" t="s">
        <v>46</v>
      </c>
      <c r="B2" s="18" t="s">
        <v>47</v>
      </c>
      <c r="C2" s="18" t="s">
        <v>48</v>
      </c>
      <c r="D2" s="18" t="s">
        <v>0</v>
      </c>
    </row>
    <row r="3" spans="1:4" x14ac:dyDescent="0.4">
      <c r="A3" s="20" t="s">
        <v>49</v>
      </c>
      <c r="B3" s="20"/>
      <c r="C3" s="20"/>
      <c r="D3" s="20" t="s">
        <v>5</v>
      </c>
    </row>
    <row r="4" spans="1:4" x14ac:dyDescent="0.4">
      <c r="A4" s="20" t="s">
        <v>50</v>
      </c>
      <c r="B4" s="20" t="s">
        <v>51</v>
      </c>
      <c r="C4" s="20"/>
      <c r="D4" s="20" t="s">
        <v>7</v>
      </c>
    </row>
    <row r="5" spans="1:4" x14ac:dyDescent="0.4">
      <c r="A5" s="20" t="s">
        <v>49</v>
      </c>
      <c r="B5" s="20"/>
      <c r="C5" s="20"/>
      <c r="D5" s="20" t="s">
        <v>52</v>
      </c>
    </row>
    <row r="6" spans="1:4" x14ac:dyDescent="0.4">
      <c r="A6" s="20" t="s">
        <v>50</v>
      </c>
      <c r="B6" s="20" t="s">
        <v>51</v>
      </c>
      <c r="C6" s="20"/>
      <c r="D6" s="20" t="s">
        <v>11</v>
      </c>
    </row>
    <row r="7" spans="1:4" x14ac:dyDescent="0.4">
      <c r="A7" s="20" t="s">
        <v>49</v>
      </c>
      <c r="B7" s="20"/>
      <c r="C7" s="20"/>
      <c r="D7" s="20" t="s">
        <v>14</v>
      </c>
    </row>
    <row r="8" spans="1:4" x14ac:dyDescent="0.4">
      <c r="A8" s="20" t="s">
        <v>50</v>
      </c>
      <c r="B8" s="20" t="s">
        <v>51</v>
      </c>
      <c r="C8" s="20"/>
      <c r="D8" s="20" t="s">
        <v>53</v>
      </c>
    </row>
    <row r="9" spans="1:4" x14ac:dyDescent="0.4">
      <c r="A9" s="20" t="s">
        <v>49</v>
      </c>
      <c r="B9" s="20"/>
      <c r="C9" s="20"/>
      <c r="D9" s="20" t="s">
        <v>19</v>
      </c>
    </row>
    <row r="10" spans="1:4" x14ac:dyDescent="0.4">
      <c r="A10" s="20" t="s">
        <v>50</v>
      </c>
      <c r="B10" s="20" t="s">
        <v>51</v>
      </c>
      <c r="C10" s="20"/>
      <c r="D10" s="20" t="s">
        <v>21</v>
      </c>
    </row>
    <row r="11" spans="1:4" x14ac:dyDescent="0.4">
      <c r="A11" s="20" t="s">
        <v>49</v>
      </c>
      <c r="B11" s="20"/>
      <c r="C11" s="20"/>
      <c r="D11" s="20" t="s">
        <v>54</v>
      </c>
    </row>
    <row r="12" spans="1:4" x14ac:dyDescent="0.4">
      <c r="A12" s="20" t="s">
        <v>50</v>
      </c>
      <c r="B12" s="20" t="s">
        <v>55</v>
      </c>
      <c r="C12" s="20"/>
      <c r="D12" s="20" t="s">
        <v>56</v>
      </c>
    </row>
    <row r="13" spans="1:4" x14ac:dyDescent="0.4">
      <c r="A13" s="20" t="s">
        <v>50</v>
      </c>
      <c r="B13" s="20" t="s">
        <v>51</v>
      </c>
      <c r="C13" s="20"/>
      <c r="D13" s="20" t="s">
        <v>24</v>
      </c>
    </row>
    <row r="14" spans="1:4" x14ac:dyDescent="0.4">
      <c r="A14" s="20" t="s">
        <v>49</v>
      </c>
      <c r="B14" s="20"/>
      <c r="C14" s="20"/>
      <c r="D14" s="20" t="s">
        <v>30</v>
      </c>
    </row>
    <row r="15" spans="1:4" x14ac:dyDescent="0.4">
      <c r="A15" s="20" t="s">
        <v>50</v>
      </c>
      <c r="B15" s="20" t="s">
        <v>51</v>
      </c>
      <c r="C15" s="20"/>
      <c r="D15" s="20" t="s">
        <v>28</v>
      </c>
    </row>
    <row r="16" spans="1:4" x14ac:dyDescent="0.4">
      <c r="A16" s="20" t="s">
        <v>49</v>
      </c>
      <c r="B16" s="20"/>
      <c r="C16" s="20"/>
      <c r="D16" s="20" t="s">
        <v>34</v>
      </c>
    </row>
    <row r="17" spans="1:4" x14ac:dyDescent="0.4">
      <c r="A17" s="20" t="s">
        <v>50</v>
      </c>
      <c r="B17" s="20" t="s">
        <v>51</v>
      </c>
      <c r="C17" s="20"/>
      <c r="D17" s="20" t="s">
        <v>32</v>
      </c>
    </row>
    <row r="18" spans="1:4" x14ac:dyDescent="0.4">
      <c r="A18" s="20" t="s">
        <v>49</v>
      </c>
      <c r="B18" s="20"/>
      <c r="C18" s="20"/>
      <c r="D18" s="20" t="s">
        <v>38</v>
      </c>
    </row>
    <row r="19" spans="1:4" x14ac:dyDescent="0.4">
      <c r="A19" s="20" t="s">
        <v>50</v>
      </c>
      <c r="B19" s="20" t="s">
        <v>51</v>
      </c>
      <c r="C19" s="20"/>
      <c r="D19" s="20" t="s">
        <v>36</v>
      </c>
    </row>
    <row r="20" spans="1:4" x14ac:dyDescent="0.4">
      <c r="A20" s="20" t="s">
        <v>49</v>
      </c>
      <c r="B20" s="20"/>
      <c r="C20" s="20"/>
      <c r="D20" s="20" t="s">
        <v>42</v>
      </c>
    </row>
    <row r="21" spans="1:4" x14ac:dyDescent="0.4">
      <c r="A21" s="20" t="s">
        <v>50</v>
      </c>
      <c r="B21" s="20" t="s">
        <v>51</v>
      </c>
      <c r="C21" s="20"/>
      <c r="D21" s="20" t="s">
        <v>44</v>
      </c>
    </row>
    <row r="22" spans="1:4" x14ac:dyDescent="0.4">
      <c r="A22" s="20" t="s">
        <v>49</v>
      </c>
      <c r="B22" s="20"/>
      <c r="C22" s="20"/>
      <c r="D22" s="20" t="s">
        <v>57</v>
      </c>
    </row>
    <row r="23" spans="1:4" x14ac:dyDescent="0.4">
      <c r="A23" s="20" t="s">
        <v>50</v>
      </c>
      <c r="B23" s="20" t="s">
        <v>51</v>
      </c>
      <c r="C23" s="20"/>
      <c r="D23" s="20" t="s">
        <v>58</v>
      </c>
    </row>
    <row r="24" spans="1:4" x14ac:dyDescent="0.4">
      <c r="A24" s="20" t="s">
        <v>49</v>
      </c>
      <c r="B24" s="20"/>
      <c r="C24" s="20"/>
      <c r="D24" s="20" t="s">
        <v>59</v>
      </c>
    </row>
    <row r="25" spans="1:4" x14ac:dyDescent="0.4">
      <c r="A25" s="20" t="s">
        <v>50</v>
      </c>
      <c r="B25" s="20" t="s">
        <v>51</v>
      </c>
      <c r="C25" s="20"/>
      <c r="D25" s="20" t="s">
        <v>60</v>
      </c>
    </row>
    <row r="26" spans="1:4" x14ac:dyDescent="0.4">
      <c r="A26" s="20" t="s">
        <v>49</v>
      </c>
      <c r="B26" s="20"/>
      <c r="C26" s="20"/>
      <c r="D26" s="20" t="s">
        <v>61</v>
      </c>
    </row>
    <row r="27" spans="1:4" x14ac:dyDescent="0.4">
      <c r="A27" s="20" t="s">
        <v>50</v>
      </c>
      <c r="B27" s="20" t="s">
        <v>51</v>
      </c>
      <c r="C27" s="20"/>
      <c r="D27" s="20" t="s">
        <v>62</v>
      </c>
    </row>
    <row r="28" spans="1:4" x14ac:dyDescent="0.4">
      <c r="A28" s="20" t="s">
        <v>49</v>
      </c>
      <c r="B28" s="20"/>
      <c r="C28" s="20"/>
      <c r="D28" s="20" t="s">
        <v>63</v>
      </c>
    </row>
    <row r="29" spans="1:4" x14ac:dyDescent="0.4">
      <c r="A29" s="20" t="s">
        <v>50</v>
      </c>
      <c r="B29" s="20" t="s">
        <v>64</v>
      </c>
      <c r="C29" s="20"/>
      <c r="D29" s="20" t="s">
        <v>65</v>
      </c>
    </row>
    <row r="30" spans="1:4" x14ac:dyDescent="0.4">
      <c r="A30" s="20" t="s">
        <v>50</v>
      </c>
      <c r="B30" s="20" t="s">
        <v>64</v>
      </c>
      <c r="C30" s="20"/>
      <c r="D30" s="20" t="s">
        <v>66</v>
      </c>
    </row>
    <row r="31" spans="1:4" x14ac:dyDescent="0.4">
      <c r="A31" s="20" t="s">
        <v>50</v>
      </c>
      <c r="B31" s="20" t="s">
        <v>51</v>
      </c>
      <c r="C31" s="20"/>
      <c r="D31" s="20" t="s">
        <v>67</v>
      </c>
    </row>
    <row r="32" spans="1:4" x14ac:dyDescent="0.4">
      <c r="A32" s="20" t="s">
        <v>49</v>
      </c>
      <c r="B32" s="20"/>
      <c r="C32" s="20"/>
      <c r="D32" s="20" t="s">
        <v>68</v>
      </c>
    </row>
    <row r="33" spans="1:4" x14ac:dyDescent="0.4">
      <c r="A33" s="20" t="s">
        <v>50</v>
      </c>
      <c r="B33" s="20" t="s">
        <v>51</v>
      </c>
      <c r="C33" s="20"/>
      <c r="D33" s="20" t="s">
        <v>69</v>
      </c>
    </row>
    <row r="34" spans="1:4" x14ac:dyDescent="0.4">
      <c r="A34" s="20" t="s">
        <v>49</v>
      </c>
      <c r="B34" s="20"/>
      <c r="C34" s="20"/>
      <c r="D34" s="20" t="s">
        <v>70</v>
      </c>
    </row>
    <row r="35" spans="1:4" x14ac:dyDescent="0.4">
      <c r="A35" s="20" t="s">
        <v>50</v>
      </c>
      <c r="B35" s="20" t="s">
        <v>51</v>
      </c>
      <c r="C35" s="20"/>
      <c r="D35" s="20" t="s">
        <v>71</v>
      </c>
    </row>
    <row r="36" spans="1:4" x14ac:dyDescent="0.4">
      <c r="A36" s="20" t="s">
        <v>49</v>
      </c>
      <c r="B36" s="20"/>
      <c r="C36" s="20"/>
      <c r="D36" s="20" t="s">
        <v>72</v>
      </c>
    </row>
    <row r="37" spans="1:4" x14ac:dyDescent="0.4">
      <c r="A37" s="20" t="s">
        <v>50</v>
      </c>
      <c r="B37" s="20" t="s">
        <v>51</v>
      </c>
      <c r="C37" s="20"/>
      <c r="D37" s="20" t="s">
        <v>73</v>
      </c>
    </row>
    <row r="38" spans="1:4" x14ac:dyDescent="0.4">
      <c r="A38" s="20" t="s">
        <v>49</v>
      </c>
      <c r="B38" s="20"/>
      <c r="C38" s="20"/>
      <c r="D38" s="20" t="s">
        <v>74</v>
      </c>
    </row>
    <row r="39" spans="1:4" x14ac:dyDescent="0.4">
      <c r="A39" s="20" t="s">
        <v>50</v>
      </c>
      <c r="B39" s="20" t="s">
        <v>51</v>
      </c>
      <c r="C39" s="20"/>
      <c r="D39" s="20" t="s">
        <v>75</v>
      </c>
    </row>
    <row r="40" spans="1:4" x14ac:dyDescent="0.4">
      <c r="A40" s="20" t="s">
        <v>49</v>
      </c>
      <c r="B40" s="20"/>
      <c r="C40" s="20"/>
      <c r="D40" s="20" t="s">
        <v>76</v>
      </c>
    </row>
    <row r="41" spans="1:4" x14ac:dyDescent="0.4">
      <c r="A41" s="20" t="s">
        <v>50</v>
      </c>
      <c r="B41" s="20" t="s">
        <v>51</v>
      </c>
      <c r="C41" s="20"/>
      <c r="D41" s="20" t="s">
        <v>77</v>
      </c>
    </row>
    <row r="42" spans="1:4" x14ac:dyDescent="0.4">
      <c r="A42" s="20" t="s">
        <v>49</v>
      </c>
      <c r="B42" s="20"/>
      <c r="C42" s="20"/>
      <c r="D42" s="20" t="s">
        <v>78</v>
      </c>
    </row>
    <row r="43" spans="1:4" x14ac:dyDescent="0.4">
      <c r="A43" s="20" t="s">
        <v>50</v>
      </c>
      <c r="B43" s="20" t="s">
        <v>51</v>
      </c>
      <c r="C43" s="20"/>
      <c r="D43" s="20" t="s">
        <v>79</v>
      </c>
    </row>
    <row r="44" spans="1:4" x14ac:dyDescent="0.4">
      <c r="A44" s="20" t="s">
        <v>49</v>
      </c>
      <c r="B44" s="20"/>
      <c r="C44" s="20"/>
      <c r="D44" s="20" t="s">
        <v>80</v>
      </c>
    </row>
    <row r="45" spans="1:4" x14ac:dyDescent="0.4">
      <c r="A45" s="20" t="s">
        <v>50</v>
      </c>
      <c r="B45" s="20" t="s">
        <v>51</v>
      </c>
      <c r="C45" s="20"/>
      <c r="D45" s="20" t="s">
        <v>81</v>
      </c>
    </row>
    <row r="46" spans="1:4" x14ac:dyDescent="0.4">
      <c r="A46" s="20" t="s">
        <v>49</v>
      </c>
      <c r="B46" s="20"/>
      <c r="C46" s="20"/>
      <c r="D46" s="20" t="s">
        <v>82</v>
      </c>
    </row>
    <row r="47" spans="1:4" x14ac:dyDescent="0.4">
      <c r="A47" s="20" t="s">
        <v>50</v>
      </c>
      <c r="B47" s="20" t="s">
        <v>51</v>
      </c>
      <c r="C47" s="20"/>
      <c r="D47" s="20" t="s">
        <v>83</v>
      </c>
    </row>
    <row r="48" spans="1:4" x14ac:dyDescent="0.4">
      <c r="A48" s="20" t="s">
        <v>49</v>
      </c>
      <c r="B48" s="20"/>
      <c r="C48" s="20"/>
      <c r="D48" s="20" t="s">
        <v>84</v>
      </c>
    </row>
    <row r="49" spans="1:4" x14ac:dyDescent="0.4">
      <c r="A49" s="20" t="s">
        <v>50</v>
      </c>
      <c r="B49" s="20" t="s">
        <v>51</v>
      </c>
      <c r="C49" s="20"/>
      <c r="D49" s="20" t="s">
        <v>85</v>
      </c>
    </row>
    <row r="50" spans="1:4" x14ac:dyDescent="0.4">
      <c r="A50" s="20" t="s">
        <v>49</v>
      </c>
      <c r="B50" s="20"/>
      <c r="C50" s="20"/>
      <c r="D50" s="20" t="s">
        <v>86</v>
      </c>
    </row>
    <row r="51" spans="1:4" x14ac:dyDescent="0.4">
      <c r="A51" s="20" t="s">
        <v>50</v>
      </c>
      <c r="B51" s="20" t="s">
        <v>51</v>
      </c>
      <c r="C51" s="20"/>
      <c r="D51" s="20" t="s">
        <v>87</v>
      </c>
    </row>
    <row r="52" spans="1:4" x14ac:dyDescent="0.4">
      <c r="A52" s="20" t="s">
        <v>49</v>
      </c>
      <c r="B52" s="20"/>
      <c r="C52" s="20"/>
      <c r="D52" s="20" t="s">
        <v>88</v>
      </c>
    </row>
    <row r="53" spans="1:4" x14ac:dyDescent="0.4">
      <c r="A53" s="20" t="s">
        <v>50</v>
      </c>
      <c r="B53" s="20" t="s">
        <v>55</v>
      </c>
      <c r="C53" s="20"/>
      <c r="D53" s="20" t="s">
        <v>89</v>
      </c>
    </row>
    <row r="54" spans="1:4" x14ac:dyDescent="0.4">
      <c r="A54" s="20" t="s">
        <v>50</v>
      </c>
      <c r="B54" s="20" t="s">
        <v>51</v>
      </c>
      <c r="C54" s="20"/>
      <c r="D54" s="20" t="s">
        <v>90</v>
      </c>
    </row>
    <row r="55" spans="1:4" x14ac:dyDescent="0.4">
      <c r="A55" s="20" t="s">
        <v>49</v>
      </c>
      <c r="B55" s="20"/>
      <c r="C55" s="20"/>
      <c r="D55" s="20" t="s">
        <v>91</v>
      </c>
    </row>
    <row r="56" spans="1:4" x14ac:dyDescent="0.4">
      <c r="A56" s="20" t="s">
        <v>50</v>
      </c>
      <c r="B56" s="20" t="s">
        <v>51</v>
      </c>
      <c r="C56" s="20"/>
      <c r="D56" s="20" t="s">
        <v>92</v>
      </c>
    </row>
    <row r="57" spans="1:4" x14ac:dyDescent="0.4">
      <c r="A57" s="20" t="s">
        <v>49</v>
      </c>
      <c r="B57" s="20"/>
      <c r="C57" s="20"/>
      <c r="D57" s="20" t="s">
        <v>93</v>
      </c>
    </row>
    <row r="58" spans="1:4" x14ac:dyDescent="0.4">
      <c r="A58" s="20" t="s">
        <v>50</v>
      </c>
      <c r="B58" s="20" t="s">
        <v>51</v>
      </c>
      <c r="C58" s="20"/>
      <c r="D58" s="20" t="s">
        <v>94</v>
      </c>
    </row>
    <row r="59" spans="1:4" x14ac:dyDescent="0.4">
      <c r="A59" s="20" t="s">
        <v>49</v>
      </c>
      <c r="B59" s="20"/>
      <c r="C59" s="20"/>
      <c r="D59" s="20" t="s">
        <v>95</v>
      </c>
    </row>
    <row r="60" spans="1:4" x14ac:dyDescent="0.4">
      <c r="A60" s="20" t="s">
        <v>50</v>
      </c>
      <c r="B60" s="20" t="s">
        <v>51</v>
      </c>
      <c r="C60" s="20"/>
      <c r="D60" s="20" t="s">
        <v>96</v>
      </c>
    </row>
    <row r="61" spans="1:4" x14ac:dyDescent="0.4">
      <c r="A61" s="20" t="s">
        <v>49</v>
      </c>
      <c r="B61" s="20"/>
      <c r="C61" s="20"/>
      <c r="D61" s="20" t="s">
        <v>97</v>
      </c>
    </row>
    <row r="62" spans="1:4" x14ac:dyDescent="0.4">
      <c r="A62" s="20" t="s">
        <v>50</v>
      </c>
      <c r="B62" s="20" t="s">
        <v>51</v>
      </c>
      <c r="C62" s="20"/>
      <c r="D62" s="20" t="s">
        <v>98</v>
      </c>
    </row>
    <row r="63" spans="1:4" x14ac:dyDescent="0.4">
      <c r="A63" s="20" t="s">
        <v>49</v>
      </c>
      <c r="B63" s="20"/>
      <c r="C63" s="20"/>
      <c r="D63" s="20" t="s">
        <v>99</v>
      </c>
    </row>
    <row r="64" spans="1:4" x14ac:dyDescent="0.4">
      <c r="A64" s="20" t="s">
        <v>50</v>
      </c>
      <c r="B64" s="20" t="s">
        <v>51</v>
      </c>
      <c r="C64" s="20"/>
      <c r="D64" s="20" t="s">
        <v>100</v>
      </c>
    </row>
    <row r="65" spans="1:4" x14ac:dyDescent="0.4">
      <c r="A65" s="20" t="s">
        <v>50</v>
      </c>
      <c r="B65" s="20" t="s">
        <v>51</v>
      </c>
      <c r="C65" s="20"/>
      <c r="D65" s="20" t="s">
        <v>101</v>
      </c>
    </row>
    <row r="66" spans="1:4" x14ac:dyDescent="0.4">
      <c r="A66" s="20" t="s">
        <v>50</v>
      </c>
      <c r="B66" s="20" t="s">
        <v>51</v>
      </c>
      <c r="C66" s="20"/>
      <c r="D66" s="20" t="s">
        <v>102</v>
      </c>
    </row>
    <row r="67" spans="1:4" x14ac:dyDescent="0.4">
      <c r="A67" s="20" t="s">
        <v>49</v>
      </c>
      <c r="B67" s="20"/>
      <c r="C67" s="20"/>
      <c r="D67" s="20" t="s">
        <v>103</v>
      </c>
    </row>
    <row r="68" spans="1:4" x14ac:dyDescent="0.4">
      <c r="A68" s="20" t="s">
        <v>50</v>
      </c>
      <c r="B68" s="20" t="s">
        <v>51</v>
      </c>
      <c r="C68" s="20"/>
      <c r="D68" s="20" t="s">
        <v>104</v>
      </c>
    </row>
    <row r="69" spans="1:4" x14ac:dyDescent="0.4">
      <c r="A69" s="20" t="s">
        <v>49</v>
      </c>
      <c r="B69" s="20"/>
      <c r="C69" s="20"/>
      <c r="D69" s="20" t="s">
        <v>105</v>
      </c>
    </row>
    <row r="70" spans="1:4" x14ac:dyDescent="0.4">
      <c r="A70" s="20" t="s">
        <v>50</v>
      </c>
      <c r="B70" s="20" t="s">
        <v>51</v>
      </c>
      <c r="C70" s="20"/>
      <c r="D70" s="20" t="s">
        <v>106</v>
      </c>
    </row>
    <row r="71" spans="1:4" x14ac:dyDescent="0.4">
      <c r="A71" s="20" t="s">
        <v>50</v>
      </c>
      <c r="B71" s="20" t="s">
        <v>51</v>
      </c>
      <c r="C71" s="20"/>
      <c r="D71" s="20" t="s">
        <v>107</v>
      </c>
    </row>
    <row r="72" spans="1:4" x14ac:dyDescent="0.4">
      <c r="A72" s="20" t="s">
        <v>49</v>
      </c>
      <c r="B72" s="20"/>
      <c r="C72" s="20"/>
      <c r="D72" s="20" t="s">
        <v>108</v>
      </c>
    </row>
    <row r="73" spans="1:4" x14ac:dyDescent="0.4">
      <c r="A73" s="20" t="s">
        <v>50</v>
      </c>
      <c r="B73" s="20" t="s">
        <v>51</v>
      </c>
      <c r="C73" s="20"/>
      <c r="D73" s="20" t="s">
        <v>109</v>
      </c>
    </row>
    <row r="74" spans="1:4" x14ac:dyDescent="0.4">
      <c r="A74" s="20" t="s">
        <v>49</v>
      </c>
      <c r="B74" s="20"/>
      <c r="C74" s="20"/>
      <c r="D74" s="20" t="s">
        <v>110</v>
      </c>
    </row>
    <row r="75" spans="1:4" x14ac:dyDescent="0.4">
      <c r="A75" s="20" t="s">
        <v>50</v>
      </c>
      <c r="B75" s="20" t="s">
        <v>51</v>
      </c>
      <c r="C75" s="20"/>
      <c r="D75" s="20" t="s">
        <v>111</v>
      </c>
    </row>
    <row r="76" spans="1:4" x14ac:dyDescent="0.4">
      <c r="A76" s="20" t="s">
        <v>49</v>
      </c>
      <c r="B76" s="20"/>
      <c r="C76" s="20"/>
      <c r="D76" s="20" t="s">
        <v>112</v>
      </c>
    </row>
    <row r="77" spans="1:4" x14ac:dyDescent="0.4">
      <c r="A77" s="20" t="s">
        <v>50</v>
      </c>
      <c r="B77" s="20" t="s">
        <v>51</v>
      </c>
      <c r="C77" s="20"/>
      <c r="D77" s="20" t="s">
        <v>113</v>
      </c>
    </row>
    <row r="78" spans="1:4" x14ac:dyDescent="0.4">
      <c r="A78" s="20" t="s">
        <v>49</v>
      </c>
      <c r="B78" s="20"/>
      <c r="C78" s="20"/>
      <c r="D78" s="20" t="s">
        <v>114</v>
      </c>
    </row>
    <row r="79" spans="1:4" x14ac:dyDescent="0.4">
      <c r="A79" s="20" t="s">
        <v>50</v>
      </c>
      <c r="B79" s="20" t="s">
        <v>51</v>
      </c>
      <c r="C79" s="20"/>
      <c r="D79" s="20" t="s">
        <v>115</v>
      </c>
    </row>
    <row r="80" spans="1:4" x14ac:dyDescent="0.4">
      <c r="A80" s="20" t="s">
        <v>49</v>
      </c>
      <c r="B80" s="20"/>
      <c r="C80" s="20"/>
      <c r="D80" s="20" t="s">
        <v>116</v>
      </c>
    </row>
    <row r="81" spans="1:4" x14ac:dyDescent="0.4">
      <c r="A81" s="20" t="s">
        <v>50</v>
      </c>
      <c r="B81" s="20" t="s">
        <v>55</v>
      </c>
      <c r="C81" s="20"/>
      <c r="D81" s="20" t="s">
        <v>117</v>
      </c>
    </row>
    <row r="82" spans="1:4" x14ac:dyDescent="0.4">
      <c r="A82" s="20" t="s">
        <v>49</v>
      </c>
      <c r="B82" s="20"/>
      <c r="C82" s="20"/>
      <c r="D82" s="20" t="s">
        <v>118</v>
      </c>
    </row>
    <row r="83" spans="1:4" x14ac:dyDescent="0.4">
      <c r="A83" s="20" t="s">
        <v>50</v>
      </c>
      <c r="B83" s="20" t="s">
        <v>51</v>
      </c>
      <c r="C83" s="20"/>
      <c r="D83" s="20" t="s">
        <v>119</v>
      </c>
    </row>
    <row r="84" spans="1:4" x14ac:dyDescent="0.4">
      <c r="A84" s="20" t="s">
        <v>50</v>
      </c>
      <c r="B84" s="20" t="s">
        <v>51</v>
      </c>
      <c r="C84" s="20"/>
      <c r="D84" s="20" t="s">
        <v>120</v>
      </c>
    </row>
    <row r="85" spans="1:4" x14ac:dyDescent="0.4">
      <c r="A85" s="20" t="s">
        <v>49</v>
      </c>
      <c r="B85" s="20"/>
      <c r="C85" s="20"/>
      <c r="D85" s="20" t="s">
        <v>121</v>
      </c>
    </row>
    <row r="86" spans="1:4" x14ac:dyDescent="0.4">
      <c r="A86" s="20" t="s">
        <v>50</v>
      </c>
      <c r="B86" s="20" t="s">
        <v>51</v>
      </c>
      <c r="C86" s="20"/>
      <c r="D86" s="20" t="s">
        <v>122</v>
      </c>
    </row>
    <row r="87" spans="1:4" x14ac:dyDescent="0.4">
      <c r="A87" s="20" t="s">
        <v>49</v>
      </c>
      <c r="B87" s="20"/>
      <c r="C87" s="20"/>
      <c r="D87" s="20" t="s">
        <v>123</v>
      </c>
    </row>
    <row r="88" spans="1:4" x14ac:dyDescent="0.4">
      <c r="A88" s="20" t="s">
        <v>50</v>
      </c>
      <c r="B88" s="20" t="s">
        <v>51</v>
      </c>
      <c r="C88" s="20"/>
      <c r="D88" s="20" t="s">
        <v>124</v>
      </c>
    </row>
    <row r="89" spans="1:4" x14ac:dyDescent="0.4">
      <c r="A89" s="20" t="s">
        <v>49</v>
      </c>
      <c r="B89" s="20"/>
      <c r="C89" s="20"/>
      <c r="D89" s="20" t="s">
        <v>125</v>
      </c>
    </row>
    <row r="90" spans="1:4" x14ac:dyDescent="0.4">
      <c r="A90" s="20" t="s">
        <v>50</v>
      </c>
      <c r="B90" s="20" t="s">
        <v>51</v>
      </c>
      <c r="C90" s="20"/>
      <c r="D90" s="20" t="s">
        <v>126</v>
      </c>
    </row>
    <row r="91" spans="1:4" x14ac:dyDescent="0.4">
      <c r="A91" s="20" t="s">
        <v>50</v>
      </c>
      <c r="B91" s="20" t="s">
        <v>64</v>
      </c>
      <c r="C91" s="20"/>
      <c r="D91" s="20" t="s">
        <v>127</v>
      </c>
    </row>
    <row r="92" spans="1:4" x14ac:dyDescent="0.4">
      <c r="A92" s="20" t="s">
        <v>49</v>
      </c>
      <c r="B92" s="20"/>
      <c r="C92" s="20"/>
      <c r="D92" s="20" t="s">
        <v>128</v>
      </c>
    </row>
    <row r="93" spans="1:4" x14ac:dyDescent="0.4">
      <c r="A93" s="20" t="s">
        <v>50</v>
      </c>
      <c r="B93" s="20" t="s">
        <v>51</v>
      </c>
      <c r="C93" s="20"/>
      <c r="D93" s="20" t="s">
        <v>129</v>
      </c>
    </row>
    <row r="94" spans="1:4" x14ac:dyDescent="0.4">
      <c r="A94" s="20" t="s">
        <v>50</v>
      </c>
      <c r="B94" s="20" t="s">
        <v>64</v>
      </c>
      <c r="C94" s="20"/>
      <c r="D94" s="20" t="s">
        <v>130</v>
      </c>
    </row>
    <row r="95" spans="1:4" x14ac:dyDescent="0.4">
      <c r="A95" s="20" t="s">
        <v>49</v>
      </c>
      <c r="B95" s="20"/>
      <c r="C95" s="20"/>
      <c r="D95" s="20" t="s">
        <v>131</v>
      </c>
    </row>
    <row r="96" spans="1:4" x14ac:dyDescent="0.4">
      <c r="A96" s="20" t="s">
        <v>50</v>
      </c>
      <c r="B96" s="20" t="s">
        <v>51</v>
      </c>
      <c r="C96" s="20"/>
      <c r="D96" s="20" t="s">
        <v>132</v>
      </c>
    </row>
  </sheetData>
  <autoFilter ref="A2:D96" xr:uid="{00000000-0009-0000-0000-000000000000}"/>
  <phoneticPr fontId="3"/>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4A891-9F94-4E69-A606-4AA02EC97A79}">
  <sheetPr filterMode="1"/>
  <dimension ref="A1:K118"/>
  <sheetViews>
    <sheetView topLeftCell="E1" zoomScale="110" zoomScaleNormal="110" workbookViewId="0">
      <pane ySplit="1" topLeftCell="A48" activePane="bottomLeft" state="frozen"/>
      <selection pane="bottomLeft" activeCell="J3" sqref="J3:K50"/>
    </sheetView>
  </sheetViews>
  <sheetFormatPr defaultRowHeight="18.75" x14ac:dyDescent="0.4"/>
  <cols>
    <col min="1" max="1" width="4.625" customWidth="1"/>
    <col min="2" max="2" width="16.125" style="3" customWidth="1"/>
    <col min="3" max="3" width="18.25" style="3" customWidth="1"/>
    <col min="4" max="4" width="8" customWidth="1"/>
    <col min="5" max="5" width="29.625" style="3" customWidth="1"/>
    <col min="6" max="6" width="54.875" customWidth="1"/>
    <col min="7" max="8" width="33.625" customWidth="1"/>
    <col min="9" max="9" width="10.5" bestFit="1" customWidth="1"/>
    <col min="10" max="10" width="13.25" style="61" customWidth="1"/>
    <col min="11" max="11" width="9.625" style="61" customWidth="1"/>
  </cols>
  <sheetData>
    <row r="1" spans="1:11" ht="20.25" thickTop="1" thickBot="1" x14ac:dyDescent="0.45">
      <c r="A1" s="1" t="s">
        <v>4</v>
      </c>
      <c r="B1" s="1" t="s">
        <v>40</v>
      </c>
      <c r="C1" s="1" t="s">
        <v>41</v>
      </c>
      <c r="D1" s="1" t="s">
        <v>1</v>
      </c>
      <c r="E1" s="2" t="s">
        <v>321</v>
      </c>
      <c r="F1" s="2" t="s">
        <v>2</v>
      </c>
      <c r="G1" s="1" t="s">
        <v>133</v>
      </c>
      <c r="H1" s="1" t="s">
        <v>16</v>
      </c>
      <c r="I1" s="1" t="s">
        <v>3</v>
      </c>
      <c r="J1" s="62" t="s">
        <v>587</v>
      </c>
      <c r="K1" s="62" t="s">
        <v>588</v>
      </c>
    </row>
    <row r="2" spans="1:11" s="8" customFormat="1" ht="154.5" hidden="1" customHeight="1" thickTop="1" x14ac:dyDescent="0.4">
      <c r="A2" s="4">
        <v>1</v>
      </c>
      <c r="B2" s="13" t="s">
        <v>6</v>
      </c>
      <c r="C2" s="5" t="s">
        <v>8</v>
      </c>
      <c r="D2" s="14" t="s">
        <v>9</v>
      </c>
      <c r="E2" s="5" t="s">
        <v>134</v>
      </c>
      <c r="F2" s="5" t="s">
        <v>137</v>
      </c>
      <c r="G2" s="6" t="s">
        <v>138</v>
      </c>
      <c r="H2" s="5" t="s">
        <v>18</v>
      </c>
      <c r="I2" s="7">
        <v>2016</v>
      </c>
      <c r="J2" s="58" t="s">
        <v>576</v>
      </c>
      <c r="K2" s="58" t="s">
        <v>577</v>
      </c>
    </row>
    <row r="3" spans="1:11" s="8" customFormat="1" ht="273.75" customHeight="1" thickTop="1" x14ac:dyDescent="0.4">
      <c r="A3" s="9">
        <v>2</v>
      </c>
      <c r="B3" s="15" t="s">
        <v>10</v>
      </c>
      <c r="C3" s="12" t="s">
        <v>12</v>
      </c>
      <c r="D3" s="16" t="s">
        <v>13</v>
      </c>
      <c r="E3" s="12" t="s">
        <v>135</v>
      </c>
      <c r="F3" s="5" t="s">
        <v>541</v>
      </c>
      <c r="G3" s="10" t="s">
        <v>139</v>
      </c>
      <c r="H3" s="12" t="s">
        <v>136</v>
      </c>
      <c r="I3" s="11">
        <v>2016</v>
      </c>
      <c r="J3" s="59" t="s">
        <v>578</v>
      </c>
      <c r="K3" s="59" t="s">
        <v>577</v>
      </c>
    </row>
    <row r="4" spans="1:11" s="8" customFormat="1" ht="249.75" customHeight="1" x14ac:dyDescent="0.4">
      <c r="A4" s="9">
        <v>3</v>
      </c>
      <c r="B4" s="12" t="s">
        <v>14</v>
      </c>
      <c r="C4" s="12" t="s">
        <v>15</v>
      </c>
      <c r="D4" s="16" t="s">
        <v>13</v>
      </c>
      <c r="E4" s="12" t="s">
        <v>140</v>
      </c>
      <c r="F4" s="12" t="s">
        <v>542</v>
      </c>
      <c r="G4" s="12" t="s">
        <v>141</v>
      </c>
      <c r="H4" s="12" t="s">
        <v>151</v>
      </c>
      <c r="I4" s="11">
        <v>2016</v>
      </c>
      <c r="J4" s="59" t="s">
        <v>579</v>
      </c>
      <c r="K4" s="59" t="s">
        <v>580</v>
      </c>
    </row>
    <row r="5" spans="1:11" s="8" customFormat="1" ht="150.75" hidden="1" customHeight="1" x14ac:dyDescent="0.4">
      <c r="A5" s="9">
        <v>4</v>
      </c>
      <c r="B5" s="12" t="s">
        <v>20</v>
      </c>
      <c r="C5" s="12" t="s">
        <v>22</v>
      </c>
      <c r="D5" s="16" t="s">
        <v>9</v>
      </c>
      <c r="E5" s="12" t="s">
        <v>142</v>
      </c>
      <c r="F5" s="12" t="s">
        <v>143</v>
      </c>
      <c r="G5" s="12" t="s">
        <v>144</v>
      </c>
      <c r="H5" s="16" t="s">
        <v>17</v>
      </c>
      <c r="I5" s="11">
        <v>2016</v>
      </c>
      <c r="J5" s="59" t="s">
        <v>576</v>
      </c>
      <c r="K5" s="59" t="s">
        <v>577</v>
      </c>
    </row>
    <row r="6" spans="1:11" s="8" customFormat="1" ht="387.75" hidden="1" customHeight="1" x14ac:dyDescent="0.4">
      <c r="A6" s="9">
        <v>5</v>
      </c>
      <c r="B6" s="12" t="s">
        <v>23</v>
      </c>
      <c r="C6" s="12" t="s">
        <v>25</v>
      </c>
      <c r="D6" s="16" t="s">
        <v>26</v>
      </c>
      <c r="E6" s="12" t="s">
        <v>27</v>
      </c>
      <c r="F6" s="12" t="s">
        <v>145</v>
      </c>
      <c r="G6" s="12" t="s">
        <v>146</v>
      </c>
      <c r="H6" s="12" t="s">
        <v>150</v>
      </c>
      <c r="I6" s="11">
        <v>2016</v>
      </c>
      <c r="J6" s="59" t="s">
        <v>581</v>
      </c>
      <c r="K6" s="59" t="s">
        <v>582</v>
      </c>
    </row>
    <row r="7" spans="1:11" s="8" customFormat="1" ht="406.5" hidden="1" customHeight="1" x14ac:dyDescent="0.4">
      <c r="A7" s="9">
        <v>6</v>
      </c>
      <c r="B7" s="12" t="s">
        <v>31</v>
      </c>
      <c r="C7" s="12" t="s">
        <v>29</v>
      </c>
      <c r="D7" s="16" t="s">
        <v>26</v>
      </c>
      <c r="E7" s="12" t="s">
        <v>147</v>
      </c>
      <c r="F7" s="12" t="s">
        <v>148</v>
      </c>
      <c r="G7" s="12" t="s">
        <v>149</v>
      </c>
      <c r="H7" s="12" t="s">
        <v>152</v>
      </c>
      <c r="I7" s="11">
        <v>2016</v>
      </c>
      <c r="J7" s="59" t="s">
        <v>581</v>
      </c>
      <c r="K7" s="59" t="s">
        <v>582</v>
      </c>
    </row>
    <row r="8" spans="1:11" s="8" customFormat="1" ht="173.25" hidden="1" customHeight="1" x14ac:dyDescent="0.4">
      <c r="A8" s="9">
        <v>7</v>
      </c>
      <c r="B8" s="12" t="s">
        <v>35</v>
      </c>
      <c r="C8" s="12" t="s">
        <v>33</v>
      </c>
      <c r="D8" s="16" t="s">
        <v>9</v>
      </c>
      <c r="E8" s="12" t="s">
        <v>153</v>
      </c>
      <c r="F8" s="12" t="s">
        <v>154</v>
      </c>
      <c r="G8" s="12" t="s">
        <v>155</v>
      </c>
      <c r="H8" s="12" t="s">
        <v>156</v>
      </c>
      <c r="I8" s="11">
        <v>2016</v>
      </c>
      <c r="J8" s="59" t="s">
        <v>583</v>
      </c>
      <c r="K8" s="59" t="s">
        <v>584</v>
      </c>
    </row>
    <row r="9" spans="1:11" s="8" customFormat="1" ht="312" hidden="1" customHeight="1" x14ac:dyDescent="0.4">
      <c r="A9" s="9">
        <v>8</v>
      </c>
      <c r="B9" s="12" t="s">
        <v>39</v>
      </c>
      <c r="C9" s="12" t="s">
        <v>37</v>
      </c>
      <c r="D9" s="16" t="s">
        <v>26</v>
      </c>
      <c r="E9" s="12" t="s">
        <v>157</v>
      </c>
      <c r="F9" s="17" t="s">
        <v>158</v>
      </c>
      <c r="G9" s="12" t="s">
        <v>159</v>
      </c>
      <c r="H9" s="12" t="s">
        <v>160</v>
      </c>
      <c r="I9" s="11">
        <v>2016</v>
      </c>
      <c r="J9" s="59" t="s">
        <v>579</v>
      </c>
      <c r="K9" s="59" t="s">
        <v>580</v>
      </c>
    </row>
    <row r="10" spans="1:11" s="8" customFormat="1" ht="329.25" hidden="1" customHeight="1" x14ac:dyDescent="0.4">
      <c r="A10" s="9">
        <v>9</v>
      </c>
      <c r="B10" s="12" t="s">
        <v>43</v>
      </c>
      <c r="C10" s="12" t="s">
        <v>45</v>
      </c>
      <c r="D10" s="16" t="s">
        <v>26</v>
      </c>
      <c r="E10" s="12" t="s">
        <v>161</v>
      </c>
      <c r="F10" s="12" t="s">
        <v>162</v>
      </c>
      <c r="G10" s="12" t="s">
        <v>163</v>
      </c>
      <c r="H10" s="12" t="s">
        <v>164</v>
      </c>
      <c r="I10" s="11">
        <v>2016</v>
      </c>
      <c r="J10" s="59" t="s">
        <v>579</v>
      </c>
      <c r="K10" s="59" t="s">
        <v>580</v>
      </c>
    </row>
    <row r="11" spans="1:11" s="8" customFormat="1" ht="181.5" hidden="1" customHeight="1" x14ac:dyDescent="0.4">
      <c r="A11" s="9">
        <v>10</v>
      </c>
      <c r="B11" s="12" t="s">
        <v>165</v>
      </c>
      <c r="C11" s="12" t="s">
        <v>166</v>
      </c>
      <c r="D11" s="16" t="s">
        <v>9</v>
      </c>
      <c r="E11" s="12" t="s">
        <v>167</v>
      </c>
      <c r="F11" s="12" t="s">
        <v>168</v>
      </c>
      <c r="G11" s="12" t="s">
        <v>169</v>
      </c>
      <c r="H11" s="16" t="s">
        <v>18</v>
      </c>
      <c r="I11" s="11">
        <v>2016</v>
      </c>
      <c r="J11" s="59" t="s">
        <v>576</v>
      </c>
      <c r="K11" s="59" t="s">
        <v>577</v>
      </c>
    </row>
    <row r="12" spans="1:11" s="8" customFormat="1" ht="148.5" hidden="1" customHeight="1" x14ac:dyDescent="0.4">
      <c r="A12" s="9">
        <v>11</v>
      </c>
      <c r="B12" s="12" t="s">
        <v>170</v>
      </c>
      <c r="C12" s="12" t="s">
        <v>171</v>
      </c>
      <c r="D12" s="12" t="s">
        <v>9</v>
      </c>
      <c r="E12" s="12" t="s">
        <v>172</v>
      </c>
      <c r="F12" s="12" t="s">
        <v>173</v>
      </c>
      <c r="G12" s="12" t="s">
        <v>174</v>
      </c>
      <c r="H12" s="12" t="s">
        <v>175</v>
      </c>
      <c r="I12" s="11">
        <v>2016</v>
      </c>
      <c r="J12" s="59" t="s">
        <v>576</v>
      </c>
      <c r="K12" s="59" t="s">
        <v>577</v>
      </c>
    </row>
    <row r="13" spans="1:11" s="8" customFormat="1" ht="161.25" hidden="1" customHeight="1" x14ac:dyDescent="0.4">
      <c r="A13" s="9">
        <v>12</v>
      </c>
      <c r="B13" s="12" t="s">
        <v>176</v>
      </c>
      <c r="C13" s="12" t="s">
        <v>177</v>
      </c>
      <c r="D13" s="16" t="s">
        <v>9</v>
      </c>
      <c r="E13" s="12" t="s">
        <v>178</v>
      </c>
      <c r="F13" s="12" t="s">
        <v>179</v>
      </c>
      <c r="G13" s="12" t="s">
        <v>180</v>
      </c>
      <c r="H13" s="12" t="s">
        <v>187</v>
      </c>
      <c r="I13" s="11"/>
      <c r="J13" s="59" t="s">
        <v>576</v>
      </c>
      <c r="K13" s="59" t="s">
        <v>577</v>
      </c>
    </row>
    <row r="14" spans="1:11" s="8" customFormat="1" ht="150" hidden="1" customHeight="1" x14ac:dyDescent="0.4">
      <c r="A14" s="24" t="s">
        <v>353</v>
      </c>
      <c r="B14" s="12" t="s">
        <v>181</v>
      </c>
      <c r="C14" s="12" t="s">
        <v>182</v>
      </c>
      <c r="D14" s="16" t="s">
        <v>9</v>
      </c>
      <c r="E14" s="12" t="s">
        <v>183</v>
      </c>
      <c r="F14" s="12" t="s">
        <v>184</v>
      </c>
      <c r="G14" s="12" t="s">
        <v>185</v>
      </c>
      <c r="H14" s="12" t="s">
        <v>186</v>
      </c>
      <c r="I14" s="11"/>
      <c r="J14" s="59" t="s">
        <v>576</v>
      </c>
      <c r="K14" s="59" t="s">
        <v>577</v>
      </c>
    </row>
    <row r="15" spans="1:11" s="8" customFormat="1" ht="333.75" customHeight="1" x14ac:dyDescent="0.4">
      <c r="A15" s="9" t="s">
        <v>354</v>
      </c>
      <c r="B15" s="12" t="s">
        <v>181</v>
      </c>
      <c r="C15" s="12" t="s">
        <v>188</v>
      </c>
      <c r="D15" s="16" t="s">
        <v>13</v>
      </c>
      <c r="E15" s="12" t="s">
        <v>189</v>
      </c>
      <c r="F15" s="12" t="s">
        <v>190</v>
      </c>
      <c r="G15" s="12" t="s">
        <v>191</v>
      </c>
      <c r="H15" s="12" t="s">
        <v>192</v>
      </c>
      <c r="I15" s="11">
        <v>2016</v>
      </c>
      <c r="J15" s="59" t="s">
        <v>579</v>
      </c>
      <c r="K15" s="59" t="s">
        <v>580</v>
      </c>
    </row>
    <row r="16" spans="1:11" s="8" customFormat="1" ht="383.25" customHeight="1" x14ac:dyDescent="0.4">
      <c r="A16" s="9" t="s">
        <v>355</v>
      </c>
      <c r="B16" s="12" t="s">
        <v>181</v>
      </c>
      <c r="C16" s="12" t="s">
        <v>193</v>
      </c>
      <c r="D16" s="16" t="s">
        <v>13</v>
      </c>
      <c r="E16" s="12" t="s">
        <v>194</v>
      </c>
      <c r="F16" s="12" t="s">
        <v>195</v>
      </c>
      <c r="G16" s="12" t="s">
        <v>196</v>
      </c>
      <c r="H16" s="12" t="s">
        <v>197</v>
      </c>
      <c r="I16" s="11">
        <v>2016</v>
      </c>
      <c r="J16" s="59" t="s">
        <v>579</v>
      </c>
      <c r="K16" s="59" t="s">
        <v>580</v>
      </c>
    </row>
    <row r="17" spans="1:11" s="8" customFormat="1" ht="345.75" hidden="1" customHeight="1" x14ac:dyDescent="0.4">
      <c r="A17" s="9">
        <v>14</v>
      </c>
      <c r="B17" s="12" t="s">
        <v>199</v>
      </c>
      <c r="C17" s="12" t="s">
        <v>198</v>
      </c>
      <c r="D17" s="16" t="s">
        <v>26</v>
      </c>
      <c r="E17" s="12" t="s">
        <v>200</v>
      </c>
      <c r="F17" s="12" t="s">
        <v>201</v>
      </c>
      <c r="G17" s="12" t="s">
        <v>202</v>
      </c>
      <c r="H17" s="12" t="s">
        <v>203</v>
      </c>
      <c r="I17" s="11">
        <v>2016</v>
      </c>
      <c r="J17" s="59" t="s">
        <v>581</v>
      </c>
      <c r="K17" s="59" t="s">
        <v>580</v>
      </c>
    </row>
    <row r="18" spans="1:11" s="8" customFormat="1" ht="160.5" hidden="1" customHeight="1" x14ac:dyDescent="0.4">
      <c r="A18" s="9">
        <v>15</v>
      </c>
      <c r="B18" s="12" t="s">
        <v>205</v>
      </c>
      <c r="C18" s="12" t="s">
        <v>204</v>
      </c>
      <c r="D18" s="16" t="s">
        <v>9</v>
      </c>
      <c r="E18" s="12" t="s">
        <v>206</v>
      </c>
      <c r="F18" s="12" t="s">
        <v>207</v>
      </c>
      <c r="G18" s="12" t="s">
        <v>208</v>
      </c>
      <c r="H18" s="12" t="s">
        <v>209</v>
      </c>
      <c r="I18" s="11">
        <v>2016</v>
      </c>
      <c r="J18" s="59" t="s">
        <v>576</v>
      </c>
      <c r="K18" s="59" t="s">
        <v>577</v>
      </c>
    </row>
    <row r="19" spans="1:11" s="8" customFormat="1" ht="148.5" hidden="1" customHeight="1" x14ac:dyDescent="0.4">
      <c r="A19" s="9">
        <v>16</v>
      </c>
      <c r="B19" s="12" t="s">
        <v>211</v>
      </c>
      <c r="C19" s="12" t="s">
        <v>210</v>
      </c>
      <c r="D19" s="16" t="s">
        <v>9</v>
      </c>
      <c r="E19" s="12" t="s">
        <v>212</v>
      </c>
      <c r="F19" s="12" t="s">
        <v>213</v>
      </c>
      <c r="G19" s="12" t="s">
        <v>214</v>
      </c>
      <c r="H19" s="16" t="s">
        <v>18</v>
      </c>
      <c r="I19" s="11">
        <v>2016</v>
      </c>
      <c r="J19" s="59" t="s">
        <v>576</v>
      </c>
      <c r="K19" s="59" t="s">
        <v>577</v>
      </c>
    </row>
    <row r="20" spans="1:11" s="8" customFormat="1" ht="149.25" hidden="1" customHeight="1" x14ac:dyDescent="0.4">
      <c r="A20" s="9">
        <v>17</v>
      </c>
      <c r="B20" s="12" t="s">
        <v>216</v>
      </c>
      <c r="C20" s="12" t="s">
        <v>215</v>
      </c>
      <c r="D20" s="16" t="s">
        <v>9</v>
      </c>
      <c r="E20" s="12" t="s">
        <v>217</v>
      </c>
      <c r="F20" s="12" t="s">
        <v>218</v>
      </c>
      <c r="G20" s="12" t="s">
        <v>219</v>
      </c>
      <c r="H20" s="16" t="s">
        <v>18</v>
      </c>
      <c r="I20" s="11">
        <v>2016</v>
      </c>
      <c r="J20" s="59" t="s">
        <v>576</v>
      </c>
      <c r="K20" s="59" t="s">
        <v>577</v>
      </c>
    </row>
    <row r="21" spans="1:11" s="8" customFormat="1" ht="172.5" hidden="1" customHeight="1" x14ac:dyDescent="0.4">
      <c r="A21" s="9">
        <v>18</v>
      </c>
      <c r="B21" s="12" t="s">
        <v>221</v>
      </c>
      <c r="C21" s="12" t="s">
        <v>220</v>
      </c>
      <c r="D21" s="16" t="s">
        <v>9</v>
      </c>
      <c r="E21" s="12" t="s">
        <v>222</v>
      </c>
      <c r="F21" s="12" t="s">
        <v>223</v>
      </c>
      <c r="G21" s="12" t="s">
        <v>224</v>
      </c>
      <c r="H21" s="12" t="s">
        <v>225</v>
      </c>
      <c r="I21" s="11">
        <v>2017</v>
      </c>
      <c r="J21" s="59" t="s">
        <v>576</v>
      </c>
      <c r="K21" s="59" t="s">
        <v>577</v>
      </c>
    </row>
    <row r="22" spans="1:11" s="8" customFormat="1" ht="381" customHeight="1" x14ac:dyDescent="0.4">
      <c r="A22" s="9">
        <v>19</v>
      </c>
      <c r="B22" s="12" t="s">
        <v>227</v>
      </c>
      <c r="C22" s="12" t="s">
        <v>226</v>
      </c>
      <c r="D22" s="16" t="s">
        <v>13</v>
      </c>
      <c r="E22" s="12" t="s">
        <v>228</v>
      </c>
      <c r="F22" s="17" t="s">
        <v>229</v>
      </c>
      <c r="G22" s="12" t="s">
        <v>230</v>
      </c>
      <c r="H22" s="12" t="s">
        <v>231</v>
      </c>
      <c r="I22" s="11">
        <v>2017</v>
      </c>
      <c r="J22" s="59" t="s">
        <v>581</v>
      </c>
      <c r="K22" s="59" t="s">
        <v>582</v>
      </c>
    </row>
    <row r="23" spans="1:11" s="8" customFormat="1" ht="409.5" customHeight="1" x14ac:dyDescent="0.4">
      <c r="A23" s="9">
        <v>20</v>
      </c>
      <c r="B23" s="12" t="s">
        <v>233</v>
      </c>
      <c r="C23" s="12" t="s">
        <v>232</v>
      </c>
      <c r="D23" s="16" t="s">
        <v>13</v>
      </c>
      <c r="E23" s="12" t="s">
        <v>234</v>
      </c>
      <c r="F23" s="17" t="s">
        <v>235</v>
      </c>
      <c r="G23" s="12" t="s">
        <v>236</v>
      </c>
      <c r="H23" s="12" t="s">
        <v>237</v>
      </c>
      <c r="I23" s="11">
        <v>2017</v>
      </c>
      <c r="J23" s="59" t="s">
        <v>583</v>
      </c>
      <c r="K23" s="59" t="s">
        <v>584</v>
      </c>
    </row>
    <row r="24" spans="1:11" s="8" customFormat="1" ht="409.6" customHeight="1" x14ac:dyDescent="0.4">
      <c r="A24" s="9">
        <v>21</v>
      </c>
      <c r="B24" s="12" t="s">
        <v>239</v>
      </c>
      <c r="C24" s="12" t="s">
        <v>238</v>
      </c>
      <c r="D24" s="16" t="s">
        <v>13</v>
      </c>
      <c r="E24" s="12" t="s">
        <v>240</v>
      </c>
      <c r="F24" s="17" t="s">
        <v>241</v>
      </c>
      <c r="G24" s="12" t="s">
        <v>242</v>
      </c>
      <c r="H24" s="12" t="s">
        <v>243</v>
      </c>
      <c r="I24" s="11">
        <v>2017</v>
      </c>
      <c r="J24" s="59" t="s">
        <v>578</v>
      </c>
      <c r="K24" s="59" t="s">
        <v>580</v>
      </c>
    </row>
    <row r="25" spans="1:11" s="8" customFormat="1" ht="400.5" hidden="1" x14ac:dyDescent="0.4">
      <c r="A25" s="9">
        <v>22</v>
      </c>
      <c r="B25" s="12" t="s">
        <v>245</v>
      </c>
      <c r="C25" s="12" t="s">
        <v>244</v>
      </c>
      <c r="D25" s="16" t="s">
        <v>26</v>
      </c>
      <c r="E25" s="12" t="s">
        <v>246</v>
      </c>
      <c r="F25" s="21" t="s">
        <v>247</v>
      </c>
      <c r="G25" s="12" t="s">
        <v>248</v>
      </c>
      <c r="H25" s="12" t="s">
        <v>249</v>
      </c>
      <c r="I25" s="11">
        <v>2017</v>
      </c>
      <c r="J25" s="59" t="s">
        <v>581</v>
      </c>
      <c r="K25" s="59" t="s">
        <v>580</v>
      </c>
    </row>
    <row r="26" spans="1:11" s="8" customFormat="1" ht="409.5" hidden="1" x14ac:dyDescent="0.4">
      <c r="A26" s="22">
        <v>23</v>
      </c>
      <c r="B26" s="12" t="s">
        <v>251</v>
      </c>
      <c r="C26" s="10" t="s">
        <v>250</v>
      </c>
      <c r="D26" s="12" t="s">
        <v>26</v>
      </c>
      <c r="E26" s="12" t="s">
        <v>252</v>
      </c>
      <c r="F26" s="21" t="s">
        <v>253</v>
      </c>
      <c r="G26" s="12" t="s">
        <v>254</v>
      </c>
      <c r="H26" s="12" t="s">
        <v>255</v>
      </c>
      <c r="I26" s="15">
        <v>2017</v>
      </c>
      <c r="J26" s="59" t="s">
        <v>581</v>
      </c>
      <c r="K26" s="59" t="s">
        <v>582</v>
      </c>
    </row>
    <row r="27" spans="1:11" s="8" customFormat="1" ht="409.5" hidden="1" x14ac:dyDescent="0.4">
      <c r="A27" s="22">
        <v>24</v>
      </c>
      <c r="B27" s="12" t="s">
        <v>257</v>
      </c>
      <c r="C27" s="12" t="s">
        <v>256</v>
      </c>
      <c r="D27" s="12" t="s">
        <v>26</v>
      </c>
      <c r="E27" s="12" t="s">
        <v>258</v>
      </c>
      <c r="F27" s="21" t="s">
        <v>259</v>
      </c>
      <c r="G27" s="12" t="s">
        <v>260</v>
      </c>
      <c r="H27" s="12" t="s">
        <v>261</v>
      </c>
      <c r="I27" s="15">
        <v>2017</v>
      </c>
      <c r="J27" s="59" t="s">
        <v>579</v>
      </c>
      <c r="K27" s="59" t="s">
        <v>582</v>
      </c>
    </row>
    <row r="28" spans="1:11" s="8" customFormat="1" ht="409.5" hidden="1" x14ac:dyDescent="0.4">
      <c r="A28" s="22">
        <v>25</v>
      </c>
      <c r="B28" s="12" t="s">
        <v>263</v>
      </c>
      <c r="C28" s="12" t="s">
        <v>262</v>
      </c>
      <c r="D28" s="12" t="s">
        <v>26</v>
      </c>
      <c r="E28" s="12" t="s">
        <v>264</v>
      </c>
      <c r="F28" s="21" t="s">
        <v>265</v>
      </c>
      <c r="G28" s="12" t="s">
        <v>266</v>
      </c>
      <c r="H28" s="12" t="s">
        <v>267</v>
      </c>
      <c r="I28" s="15">
        <v>2017</v>
      </c>
      <c r="J28" s="59" t="s">
        <v>581</v>
      </c>
      <c r="K28" s="59" t="s">
        <v>582</v>
      </c>
    </row>
    <row r="29" spans="1:11" s="8" customFormat="1" ht="409.5" hidden="1" x14ac:dyDescent="0.4">
      <c r="A29" s="22">
        <v>26</v>
      </c>
      <c r="B29" s="12" t="s">
        <v>271</v>
      </c>
      <c r="C29" s="12" t="s">
        <v>270</v>
      </c>
      <c r="D29" s="12" t="s">
        <v>26</v>
      </c>
      <c r="E29" s="12" t="s">
        <v>269</v>
      </c>
      <c r="F29" s="21" t="s">
        <v>268</v>
      </c>
      <c r="G29" s="12" t="s">
        <v>272</v>
      </c>
      <c r="H29" s="12" t="s">
        <v>273</v>
      </c>
      <c r="I29" s="15">
        <v>2018</v>
      </c>
      <c r="J29" s="59" t="s">
        <v>583</v>
      </c>
      <c r="K29" s="59" t="s">
        <v>584</v>
      </c>
    </row>
    <row r="30" spans="1:11" s="8" customFormat="1" ht="409.5" x14ac:dyDescent="0.4">
      <c r="A30" s="22">
        <v>27</v>
      </c>
      <c r="B30" s="12" t="s">
        <v>275</v>
      </c>
      <c r="C30" s="12" t="s">
        <v>274</v>
      </c>
      <c r="D30" s="12" t="s">
        <v>13</v>
      </c>
      <c r="E30" s="12" t="s">
        <v>276</v>
      </c>
      <c r="F30" s="21" t="s">
        <v>268</v>
      </c>
      <c r="G30" s="12" t="s">
        <v>277</v>
      </c>
      <c r="H30" s="12" t="s">
        <v>278</v>
      </c>
      <c r="I30" s="15">
        <v>2018</v>
      </c>
      <c r="J30" s="59" t="s">
        <v>576</v>
      </c>
      <c r="K30" s="59" t="s">
        <v>584</v>
      </c>
    </row>
    <row r="31" spans="1:11" s="8" customFormat="1" ht="409.5" hidden="1" x14ac:dyDescent="0.4">
      <c r="A31" s="22">
        <v>28</v>
      </c>
      <c r="B31" s="12" t="s">
        <v>280</v>
      </c>
      <c r="C31" s="12" t="s">
        <v>279</v>
      </c>
      <c r="D31" s="12" t="s">
        <v>26</v>
      </c>
      <c r="E31" s="12" t="s">
        <v>281</v>
      </c>
      <c r="F31" s="21" t="s">
        <v>282</v>
      </c>
      <c r="G31" s="12" t="s">
        <v>283</v>
      </c>
      <c r="H31" s="12" t="s">
        <v>284</v>
      </c>
      <c r="I31" s="15">
        <v>2018</v>
      </c>
      <c r="J31" s="59" t="s">
        <v>581</v>
      </c>
      <c r="K31" s="59" t="s">
        <v>582</v>
      </c>
    </row>
    <row r="32" spans="1:11" s="8" customFormat="1" ht="409.5" hidden="1" x14ac:dyDescent="0.4">
      <c r="A32" s="22" t="s">
        <v>356</v>
      </c>
      <c r="B32" s="12" t="s">
        <v>286</v>
      </c>
      <c r="C32" s="12" t="s">
        <v>285</v>
      </c>
      <c r="D32" s="12" t="s">
        <v>26</v>
      </c>
      <c r="E32" s="12" t="s">
        <v>287</v>
      </c>
      <c r="F32" s="21" t="s">
        <v>290</v>
      </c>
      <c r="G32" s="12" t="s">
        <v>289</v>
      </c>
      <c r="H32" s="12" t="s">
        <v>288</v>
      </c>
      <c r="I32" s="15">
        <v>2019</v>
      </c>
      <c r="J32" s="59" t="s">
        <v>581</v>
      </c>
      <c r="K32" s="59" t="s">
        <v>582</v>
      </c>
    </row>
    <row r="33" spans="1:11" s="8" customFormat="1" ht="409.5" hidden="1" x14ac:dyDescent="0.4">
      <c r="A33" s="22" t="s">
        <v>357</v>
      </c>
      <c r="B33" s="12" t="s">
        <v>286</v>
      </c>
      <c r="C33" s="12" t="s">
        <v>294</v>
      </c>
      <c r="D33" s="12" t="s">
        <v>26</v>
      </c>
      <c r="E33" s="12" t="s">
        <v>18</v>
      </c>
      <c r="F33" s="21" t="s">
        <v>293</v>
      </c>
      <c r="G33" s="12" t="s">
        <v>292</v>
      </c>
      <c r="H33" s="12" t="s">
        <v>291</v>
      </c>
      <c r="I33" s="15">
        <v>2019</v>
      </c>
      <c r="J33" s="59" t="s">
        <v>581</v>
      </c>
      <c r="K33" s="59" t="s">
        <v>582</v>
      </c>
    </row>
    <row r="34" spans="1:11" s="8" customFormat="1" ht="409.5" hidden="1" x14ac:dyDescent="0.4">
      <c r="A34" s="22" t="s">
        <v>358</v>
      </c>
      <c r="B34" s="12" t="s">
        <v>286</v>
      </c>
      <c r="C34" s="12" t="s">
        <v>295</v>
      </c>
      <c r="D34" s="12" t="s">
        <v>26</v>
      </c>
      <c r="E34" s="12" t="s">
        <v>18</v>
      </c>
      <c r="F34" s="21" t="s">
        <v>296</v>
      </c>
      <c r="G34" s="12" t="s">
        <v>299</v>
      </c>
      <c r="H34" s="12" t="s">
        <v>300</v>
      </c>
      <c r="I34" s="15">
        <v>2019</v>
      </c>
      <c r="J34" s="59" t="s">
        <v>579</v>
      </c>
      <c r="K34" s="59" t="s">
        <v>585</v>
      </c>
    </row>
    <row r="35" spans="1:11" s="8" customFormat="1" ht="409.5" hidden="1" x14ac:dyDescent="0.4">
      <c r="A35" s="22">
        <v>30</v>
      </c>
      <c r="B35" s="12" t="s">
        <v>297</v>
      </c>
      <c r="C35" s="12" t="s">
        <v>298</v>
      </c>
      <c r="D35" s="12" t="s">
        <v>26</v>
      </c>
      <c r="E35" s="12" t="s">
        <v>301</v>
      </c>
      <c r="F35" s="21" t="s">
        <v>302</v>
      </c>
      <c r="G35" s="12" t="s">
        <v>303</v>
      </c>
      <c r="H35" s="12" t="s">
        <v>304</v>
      </c>
      <c r="I35" s="15">
        <v>2019</v>
      </c>
      <c r="J35" s="59" t="s">
        <v>581</v>
      </c>
      <c r="K35" s="59" t="s">
        <v>580</v>
      </c>
    </row>
    <row r="36" spans="1:11" s="8" customFormat="1" ht="409.5" hidden="1" x14ac:dyDescent="0.4">
      <c r="A36" s="22" t="s">
        <v>359</v>
      </c>
      <c r="B36" s="12" t="s">
        <v>305</v>
      </c>
      <c r="C36" s="12" t="s">
        <v>310</v>
      </c>
      <c r="D36" s="12" t="s">
        <v>26</v>
      </c>
      <c r="E36" s="12" t="s">
        <v>309</v>
      </c>
      <c r="F36" s="23" t="s">
        <v>308</v>
      </c>
      <c r="G36" s="12" t="s">
        <v>307</v>
      </c>
      <c r="H36" s="12" t="s">
        <v>306</v>
      </c>
      <c r="I36" s="15">
        <v>2019</v>
      </c>
      <c r="J36" s="59" t="s">
        <v>579</v>
      </c>
      <c r="K36" s="59" t="s">
        <v>585</v>
      </c>
    </row>
    <row r="37" spans="1:11" s="8" customFormat="1" ht="60" hidden="1" x14ac:dyDescent="0.4">
      <c r="A37" s="22" t="s">
        <v>360</v>
      </c>
      <c r="B37" s="12" t="s">
        <v>105</v>
      </c>
      <c r="C37" s="12" t="s">
        <v>311</v>
      </c>
      <c r="D37" s="12" t="s">
        <v>26</v>
      </c>
      <c r="E37" s="12" t="s">
        <v>312</v>
      </c>
      <c r="F37" s="12" t="s">
        <v>313</v>
      </c>
      <c r="G37" s="12" t="s">
        <v>317</v>
      </c>
      <c r="H37" s="12" t="s">
        <v>306</v>
      </c>
      <c r="I37" s="15">
        <v>2019</v>
      </c>
      <c r="J37" s="59" t="s">
        <v>579</v>
      </c>
      <c r="K37" s="59" t="s">
        <v>585</v>
      </c>
    </row>
    <row r="38" spans="1:11" s="8" customFormat="1" ht="216.75" hidden="1" customHeight="1" x14ac:dyDescent="0.4">
      <c r="A38" s="22">
        <v>32</v>
      </c>
      <c r="B38" s="12" t="s">
        <v>315</v>
      </c>
      <c r="C38" s="12" t="s">
        <v>314</v>
      </c>
      <c r="D38" s="12" t="s">
        <v>26</v>
      </c>
      <c r="E38" s="12" t="s">
        <v>316</v>
      </c>
      <c r="F38" s="17" t="s">
        <v>322</v>
      </c>
      <c r="G38" s="12" t="s">
        <v>18</v>
      </c>
      <c r="H38" s="12" t="s">
        <v>18</v>
      </c>
      <c r="I38" s="15">
        <v>2019</v>
      </c>
      <c r="J38" s="59" t="s">
        <v>576</v>
      </c>
      <c r="K38" s="59" t="s">
        <v>577</v>
      </c>
    </row>
    <row r="39" spans="1:11" s="8" customFormat="1" ht="409.5" hidden="1" x14ac:dyDescent="0.4">
      <c r="A39" s="22">
        <v>33</v>
      </c>
      <c r="B39" s="12" t="s">
        <v>318</v>
      </c>
      <c r="C39" s="12" t="s">
        <v>319</v>
      </c>
      <c r="D39" s="12" t="s">
        <v>26</v>
      </c>
      <c r="E39" s="12" t="s">
        <v>320</v>
      </c>
      <c r="F39" s="21" t="s">
        <v>346</v>
      </c>
      <c r="G39" s="12" t="s">
        <v>323</v>
      </c>
      <c r="H39" s="12" t="s">
        <v>324</v>
      </c>
      <c r="I39" s="15">
        <v>2019</v>
      </c>
      <c r="J39" s="59" t="s">
        <v>579</v>
      </c>
      <c r="K39" s="59" t="s">
        <v>585</v>
      </c>
    </row>
    <row r="40" spans="1:11" s="8" customFormat="1" ht="409.5" hidden="1" x14ac:dyDescent="0.4">
      <c r="A40" s="22">
        <v>34</v>
      </c>
      <c r="B40" s="12" t="s">
        <v>327</v>
      </c>
      <c r="C40" s="12" t="s">
        <v>325</v>
      </c>
      <c r="D40" s="12" t="s">
        <v>26</v>
      </c>
      <c r="E40" s="12" t="s">
        <v>326</v>
      </c>
      <c r="F40" s="21" t="s">
        <v>345</v>
      </c>
      <c r="G40" s="12" t="s">
        <v>329</v>
      </c>
      <c r="H40" s="12" t="s">
        <v>328</v>
      </c>
      <c r="I40" s="15">
        <v>2020</v>
      </c>
      <c r="J40" s="59" t="s">
        <v>581</v>
      </c>
      <c r="K40" s="59" t="s">
        <v>585</v>
      </c>
    </row>
    <row r="41" spans="1:11" s="8" customFormat="1" ht="409.5" hidden="1" x14ac:dyDescent="0.4">
      <c r="A41" s="22">
        <v>35</v>
      </c>
      <c r="B41" s="12" t="s">
        <v>330</v>
      </c>
      <c r="C41" s="12" t="s">
        <v>331</v>
      </c>
      <c r="D41" s="12" t="s">
        <v>26</v>
      </c>
      <c r="E41" s="12" t="s">
        <v>332</v>
      </c>
      <c r="F41" s="21" t="s">
        <v>335</v>
      </c>
      <c r="G41" s="12" t="s">
        <v>333</v>
      </c>
      <c r="H41" s="12" t="s">
        <v>334</v>
      </c>
      <c r="I41" s="15">
        <v>2020</v>
      </c>
      <c r="J41" s="59" t="s">
        <v>579</v>
      </c>
      <c r="K41" s="59" t="s">
        <v>585</v>
      </c>
    </row>
    <row r="42" spans="1:11" s="8" customFormat="1" ht="409.5" hidden="1" x14ac:dyDescent="0.4">
      <c r="A42" s="22">
        <v>36</v>
      </c>
      <c r="B42" s="12" t="s">
        <v>340</v>
      </c>
      <c r="C42" s="12" t="s">
        <v>339</v>
      </c>
      <c r="D42" s="12" t="s">
        <v>26</v>
      </c>
      <c r="E42" s="12" t="s">
        <v>338</v>
      </c>
      <c r="F42" s="21" t="s">
        <v>344</v>
      </c>
      <c r="G42" s="12" t="s">
        <v>337</v>
      </c>
      <c r="H42" s="12" t="s">
        <v>336</v>
      </c>
      <c r="I42" s="15">
        <v>2020</v>
      </c>
      <c r="J42" s="59" t="s">
        <v>581</v>
      </c>
      <c r="K42" s="59" t="s">
        <v>582</v>
      </c>
    </row>
    <row r="43" spans="1:11" s="8" customFormat="1" ht="409.5" hidden="1" x14ac:dyDescent="0.4">
      <c r="A43" s="22" t="s">
        <v>361</v>
      </c>
      <c r="B43" s="12" t="s">
        <v>349</v>
      </c>
      <c r="C43" s="12" t="s">
        <v>348</v>
      </c>
      <c r="D43" s="12" t="s">
        <v>26</v>
      </c>
      <c r="E43" s="12" t="s">
        <v>347</v>
      </c>
      <c r="F43" s="21" t="s">
        <v>343</v>
      </c>
      <c r="G43" s="12" t="s">
        <v>342</v>
      </c>
      <c r="H43" s="12" t="s">
        <v>341</v>
      </c>
      <c r="I43" s="15">
        <v>2020</v>
      </c>
      <c r="J43" s="59" t="s">
        <v>581</v>
      </c>
      <c r="K43" s="59" t="s">
        <v>585</v>
      </c>
    </row>
    <row r="44" spans="1:11" s="8" customFormat="1" ht="312" hidden="1" customHeight="1" x14ac:dyDescent="0.4">
      <c r="A44" s="22" t="s">
        <v>362</v>
      </c>
      <c r="B44" s="12" t="s">
        <v>118</v>
      </c>
      <c r="C44" s="12" t="s">
        <v>350</v>
      </c>
      <c r="D44" s="12" t="s">
        <v>26</v>
      </c>
      <c r="E44" s="12" t="s">
        <v>18</v>
      </c>
      <c r="F44" s="12" t="s">
        <v>363</v>
      </c>
      <c r="G44" s="12" t="s">
        <v>351</v>
      </c>
      <c r="H44" s="12" t="s">
        <v>352</v>
      </c>
      <c r="I44" s="15">
        <v>2020</v>
      </c>
      <c r="J44" s="59" t="s">
        <v>583</v>
      </c>
      <c r="K44" s="59" t="s">
        <v>585</v>
      </c>
    </row>
    <row r="45" spans="1:11" s="8" customFormat="1" ht="402" hidden="1" x14ac:dyDescent="0.4">
      <c r="A45" s="29">
        <v>38</v>
      </c>
      <c r="B45" s="30" t="s">
        <v>446</v>
      </c>
      <c r="C45" s="30" t="s">
        <v>447</v>
      </c>
      <c r="D45" s="30" t="s">
        <v>448</v>
      </c>
      <c r="E45" s="30" t="s">
        <v>449</v>
      </c>
      <c r="F45" s="31" t="s">
        <v>510</v>
      </c>
      <c r="G45" s="30" t="s">
        <v>450</v>
      </c>
      <c r="H45" s="30" t="s">
        <v>451</v>
      </c>
      <c r="I45" s="32">
        <v>2020</v>
      </c>
      <c r="J45" s="59" t="s">
        <v>579</v>
      </c>
      <c r="K45" s="59" t="s">
        <v>585</v>
      </c>
    </row>
    <row r="46" spans="1:11" s="8" customFormat="1" ht="409.5" hidden="1" x14ac:dyDescent="0.4">
      <c r="A46" s="29">
        <v>39</v>
      </c>
      <c r="B46" s="30" t="s">
        <v>452</v>
      </c>
      <c r="C46" s="30" t="s">
        <v>453</v>
      </c>
      <c r="D46" s="30" t="s">
        <v>448</v>
      </c>
      <c r="E46" s="30" t="s">
        <v>454</v>
      </c>
      <c r="F46" s="31" t="s">
        <v>455</v>
      </c>
      <c r="G46" s="30" t="s">
        <v>456</v>
      </c>
      <c r="H46" s="30" t="s">
        <v>457</v>
      </c>
      <c r="I46" s="32">
        <v>2024</v>
      </c>
      <c r="J46" s="59" t="s">
        <v>576</v>
      </c>
      <c r="K46" s="59" t="s">
        <v>577</v>
      </c>
    </row>
    <row r="47" spans="1:11" s="8" customFormat="1" ht="409.5" hidden="1" x14ac:dyDescent="0.4">
      <c r="A47" s="29" t="s">
        <v>458</v>
      </c>
      <c r="B47" s="30" t="s">
        <v>459</v>
      </c>
      <c r="C47" s="30" t="s">
        <v>499</v>
      </c>
      <c r="D47" s="30" t="s">
        <v>448</v>
      </c>
      <c r="E47" s="30" t="s">
        <v>460</v>
      </c>
      <c r="F47" s="31" t="s">
        <v>461</v>
      </c>
      <c r="G47" s="30" t="s">
        <v>462</v>
      </c>
      <c r="H47" s="30" t="s">
        <v>463</v>
      </c>
      <c r="I47" s="32">
        <v>2024</v>
      </c>
      <c r="J47" s="59" t="s">
        <v>579</v>
      </c>
      <c r="K47" s="59" t="s">
        <v>585</v>
      </c>
    </row>
    <row r="48" spans="1:11" s="8" customFormat="1" ht="96" x14ac:dyDescent="0.4">
      <c r="A48" s="29" t="s">
        <v>464</v>
      </c>
      <c r="B48" s="30" t="s">
        <v>459</v>
      </c>
      <c r="C48" s="30" t="s">
        <v>465</v>
      </c>
      <c r="D48" s="30" t="s">
        <v>466</v>
      </c>
      <c r="E48" s="30" t="s">
        <v>467</v>
      </c>
      <c r="F48" s="30" t="s">
        <v>468</v>
      </c>
      <c r="G48" s="30" t="s">
        <v>469</v>
      </c>
      <c r="H48" s="30" t="s">
        <v>463</v>
      </c>
      <c r="I48" s="32">
        <v>2024</v>
      </c>
      <c r="J48" s="59" t="s">
        <v>576</v>
      </c>
      <c r="K48" s="59" t="s">
        <v>585</v>
      </c>
    </row>
    <row r="49" spans="1:11" s="8" customFormat="1" ht="399" hidden="1" x14ac:dyDescent="0.4">
      <c r="A49" s="29" t="s">
        <v>470</v>
      </c>
      <c r="B49" s="30" t="s">
        <v>471</v>
      </c>
      <c r="C49" s="30" t="s">
        <v>472</v>
      </c>
      <c r="D49" s="30" t="s">
        <v>473</v>
      </c>
      <c r="E49" s="30" t="s">
        <v>474</v>
      </c>
      <c r="F49" s="33" t="s">
        <v>513</v>
      </c>
      <c r="G49" s="30" t="s">
        <v>475</v>
      </c>
      <c r="H49" s="30" t="s">
        <v>476</v>
      </c>
      <c r="I49" s="32">
        <v>2025</v>
      </c>
      <c r="J49" s="59" t="s">
        <v>579</v>
      </c>
      <c r="K49" s="59" t="s">
        <v>585</v>
      </c>
    </row>
    <row r="50" spans="1:11" s="8" customFormat="1" ht="120" x14ac:dyDescent="0.4">
      <c r="A50" s="29" t="s">
        <v>477</v>
      </c>
      <c r="B50" s="30" t="s">
        <v>471</v>
      </c>
      <c r="C50" s="30" t="s">
        <v>478</v>
      </c>
      <c r="D50" s="30" t="s">
        <v>479</v>
      </c>
      <c r="E50" s="30" t="s">
        <v>480</v>
      </c>
      <c r="F50" s="30" t="s">
        <v>481</v>
      </c>
      <c r="G50" s="30" t="s">
        <v>482</v>
      </c>
      <c r="H50" s="30" t="s">
        <v>483</v>
      </c>
      <c r="I50" s="32">
        <v>2025</v>
      </c>
      <c r="J50" s="59" t="s">
        <v>576</v>
      </c>
      <c r="K50" s="59" t="s">
        <v>585</v>
      </c>
    </row>
    <row r="51" spans="1:11" s="8" customFormat="1" ht="380.25" hidden="1" x14ac:dyDescent="0.4">
      <c r="A51" s="29">
        <v>42</v>
      </c>
      <c r="B51" s="30" t="s">
        <v>491</v>
      </c>
      <c r="C51" s="30" t="s">
        <v>484</v>
      </c>
      <c r="D51" s="30" t="s">
        <v>473</v>
      </c>
      <c r="E51" s="30" t="s">
        <v>485</v>
      </c>
      <c r="F51" s="34" t="s">
        <v>514</v>
      </c>
      <c r="G51" s="30" t="s">
        <v>486</v>
      </c>
      <c r="H51" s="30" t="s">
        <v>487</v>
      </c>
      <c r="I51" s="32">
        <v>2026</v>
      </c>
      <c r="J51" s="59" t="s">
        <v>581</v>
      </c>
      <c r="K51" s="59" t="s">
        <v>585</v>
      </c>
    </row>
    <row r="52" spans="1:11" s="8" customFormat="1" ht="16.5" x14ac:dyDescent="0.4">
      <c r="A52" s="22"/>
      <c r="B52" s="12"/>
      <c r="C52" s="12"/>
      <c r="D52" s="12"/>
      <c r="E52" s="12"/>
      <c r="F52" s="12"/>
      <c r="G52" s="12"/>
      <c r="H52" s="12"/>
      <c r="I52" s="15"/>
      <c r="J52" s="60"/>
      <c r="K52" s="60"/>
    </row>
    <row r="53" spans="1:11" s="8" customFormat="1" ht="16.5" x14ac:dyDescent="0.4">
      <c r="A53" s="22"/>
      <c r="B53" s="12"/>
      <c r="C53" s="12"/>
      <c r="D53" s="12"/>
      <c r="E53" s="12"/>
      <c r="F53" s="12"/>
      <c r="G53" s="12"/>
      <c r="H53" s="12"/>
      <c r="I53" s="15"/>
      <c r="J53" s="60"/>
      <c r="K53" s="60"/>
    </row>
    <row r="54" spans="1:11" s="8" customFormat="1" ht="16.5" x14ac:dyDescent="0.4">
      <c r="A54" s="22"/>
      <c r="B54" s="12"/>
      <c r="C54" s="12"/>
      <c r="D54" s="12"/>
      <c r="E54" s="12"/>
      <c r="F54" s="12"/>
      <c r="G54" s="12"/>
      <c r="H54" s="12"/>
      <c r="I54" s="15"/>
      <c r="J54" s="60"/>
      <c r="K54" s="60"/>
    </row>
    <row r="55" spans="1:11" s="8" customFormat="1" ht="16.5" x14ac:dyDescent="0.4">
      <c r="A55" s="22"/>
      <c r="B55" s="12"/>
      <c r="C55" s="12"/>
      <c r="D55" s="12"/>
      <c r="E55" s="12"/>
      <c r="F55" s="12"/>
      <c r="G55" s="12"/>
      <c r="H55" s="12"/>
      <c r="I55" s="15"/>
      <c r="J55" s="60"/>
      <c r="K55" s="60"/>
    </row>
    <row r="56" spans="1:11" s="8" customFormat="1" ht="16.5" x14ac:dyDescent="0.4">
      <c r="A56" s="22"/>
      <c r="B56" s="12"/>
      <c r="C56" s="12"/>
      <c r="D56" s="12"/>
      <c r="E56" s="12"/>
      <c r="F56" s="12"/>
      <c r="G56" s="12"/>
      <c r="H56" s="12"/>
      <c r="I56" s="15"/>
      <c r="J56" s="60"/>
      <c r="K56" s="60"/>
    </row>
    <row r="57" spans="1:11" s="8" customFormat="1" ht="16.5" x14ac:dyDescent="0.4">
      <c r="A57" s="22"/>
      <c r="B57" s="12"/>
      <c r="C57" s="12"/>
      <c r="D57" s="12"/>
      <c r="E57" s="12"/>
      <c r="F57" s="12"/>
      <c r="G57" s="12"/>
      <c r="H57" s="12"/>
      <c r="I57" s="15"/>
      <c r="J57" s="60"/>
      <c r="K57" s="60"/>
    </row>
    <row r="58" spans="1:11" s="8" customFormat="1" ht="16.5" x14ac:dyDescent="0.4">
      <c r="A58" s="22"/>
      <c r="B58" s="12"/>
      <c r="C58" s="12"/>
      <c r="D58" s="12"/>
      <c r="E58" s="12"/>
      <c r="F58" s="12"/>
      <c r="G58" s="12"/>
      <c r="H58" s="12"/>
      <c r="I58" s="15"/>
      <c r="J58" s="60"/>
      <c r="K58" s="60"/>
    </row>
    <row r="59" spans="1:11" s="8" customFormat="1" ht="16.5" x14ac:dyDescent="0.4">
      <c r="A59" s="22"/>
      <c r="B59" s="12"/>
      <c r="C59" s="12"/>
      <c r="D59" s="12"/>
      <c r="E59" s="12"/>
      <c r="F59" s="12"/>
      <c r="G59" s="12"/>
      <c r="H59" s="12"/>
      <c r="I59" s="15"/>
      <c r="J59" s="60"/>
      <c r="K59" s="60"/>
    </row>
    <row r="60" spans="1:11" s="8" customFormat="1" ht="16.5" x14ac:dyDescent="0.4">
      <c r="A60" s="22"/>
      <c r="B60" s="12"/>
      <c r="C60" s="12"/>
      <c r="D60" s="12"/>
      <c r="E60" s="12"/>
      <c r="F60" s="12"/>
      <c r="G60" s="12"/>
      <c r="H60" s="12"/>
      <c r="I60" s="15"/>
      <c r="J60" s="60"/>
      <c r="K60" s="60"/>
    </row>
    <row r="61" spans="1:11" s="8" customFormat="1" ht="16.5" x14ac:dyDescent="0.4">
      <c r="A61" s="22"/>
      <c r="B61" s="12"/>
      <c r="C61" s="12"/>
      <c r="D61" s="12"/>
      <c r="E61" s="12"/>
      <c r="F61" s="12"/>
      <c r="G61" s="12"/>
      <c r="H61" s="12"/>
      <c r="I61" s="15"/>
      <c r="J61" s="60"/>
      <c r="K61" s="60"/>
    </row>
    <row r="62" spans="1:11" s="8" customFormat="1" ht="16.5" x14ac:dyDescent="0.4">
      <c r="A62" s="9"/>
      <c r="B62" s="12"/>
      <c r="C62" s="12"/>
      <c r="D62" s="16"/>
      <c r="E62" s="12"/>
      <c r="F62" s="16"/>
      <c r="G62" s="16"/>
      <c r="H62" s="16"/>
      <c r="I62" s="11"/>
      <c r="J62" s="60"/>
      <c r="K62" s="60"/>
    </row>
    <row r="63" spans="1:11" s="8" customFormat="1" ht="16.5" x14ac:dyDescent="0.4">
      <c r="A63" s="9"/>
      <c r="B63" s="12"/>
      <c r="C63" s="12"/>
      <c r="D63" s="16"/>
      <c r="E63" s="12"/>
      <c r="F63" s="16"/>
      <c r="G63" s="16"/>
      <c r="H63" s="16"/>
      <c r="I63" s="11"/>
      <c r="J63" s="60"/>
      <c r="K63" s="60"/>
    </row>
    <row r="64" spans="1:11" s="8" customFormat="1" ht="16.5" x14ac:dyDescent="0.4">
      <c r="A64" s="9"/>
      <c r="B64" s="12"/>
      <c r="C64" s="12"/>
      <c r="D64" s="16"/>
      <c r="E64" s="12"/>
      <c r="F64" s="16"/>
      <c r="G64" s="16"/>
      <c r="H64" s="16"/>
      <c r="I64" s="11"/>
      <c r="J64" s="60"/>
      <c r="K64" s="60"/>
    </row>
    <row r="65" spans="1:11" s="8" customFormat="1" ht="16.5" x14ac:dyDescent="0.4">
      <c r="A65" s="9"/>
      <c r="B65" s="12"/>
      <c r="C65" s="12"/>
      <c r="D65" s="16"/>
      <c r="E65" s="12"/>
      <c r="F65" s="16"/>
      <c r="G65" s="16"/>
      <c r="H65" s="16"/>
      <c r="I65" s="11"/>
      <c r="J65" s="60"/>
      <c r="K65" s="60"/>
    </row>
    <row r="66" spans="1:11" s="8" customFormat="1" ht="16.5" x14ac:dyDescent="0.4">
      <c r="A66" s="9"/>
      <c r="B66" s="12"/>
      <c r="C66" s="12"/>
      <c r="D66" s="16"/>
      <c r="E66" s="12"/>
      <c r="F66" s="16"/>
      <c r="G66" s="16"/>
      <c r="H66" s="16"/>
      <c r="I66" s="11"/>
      <c r="J66" s="60"/>
      <c r="K66" s="60"/>
    </row>
    <row r="67" spans="1:11" s="8" customFormat="1" ht="16.5" x14ac:dyDescent="0.4">
      <c r="A67" s="9"/>
      <c r="B67" s="12"/>
      <c r="C67" s="12"/>
      <c r="D67" s="16"/>
      <c r="E67" s="12"/>
      <c r="F67" s="16"/>
      <c r="G67" s="16"/>
      <c r="H67" s="16"/>
      <c r="I67" s="11"/>
      <c r="J67" s="60"/>
      <c r="K67" s="60"/>
    </row>
    <row r="68" spans="1:11" s="8" customFormat="1" ht="16.5" x14ac:dyDescent="0.4">
      <c r="A68" s="9"/>
      <c r="B68" s="12"/>
      <c r="C68" s="12"/>
      <c r="D68" s="16"/>
      <c r="E68" s="12"/>
      <c r="F68" s="16"/>
      <c r="G68" s="16"/>
      <c r="H68" s="16"/>
      <c r="I68" s="11"/>
      <c r="J68" s="60"/>
      <c r="K68" s="60"/>
    </row>
    <row r="69" spans="1:11" s="8" customFormat="1" ht="16.5" x14ac:dyDescent="0.4">
      <c r="A69" s="9"/>
      <c r="B69" s="12"/>
      <c r="C69" s="12"/>
      <c r="D69" s="16"/>
      <c r="E69" s="12"/>
      <c r="F69" s="16"/>
      <c r="G69" s="16"/>
      <c r="H69" s="16"/>
      <c r="I69" s="11"/>
      <c r="J69" s="60"/>
      <c r="K69" s="60"/>
    </row>
    <row r="70" spans="1:11" s="8" customFormat="1" ht="16.5" x14ac:dyDescent="0.4">
      <c r="A70" s="9"/>
      <c r="B70" s="12"/>
      <c r="C70" s="12"/>
      <c r="D70" s="16"/>
      <c r="E70" s="12"/>
      <c r="F70" s="16"/>
      <c r="G70" s="16"/>
      <c r="H70" s="16"/>
      <c r="I70" s="11"/>
      <c r="J70" s="60"/>
      <c r="K70" s="60"/>
    </row>
    <row r="71" spans="1:11" s="8" customFormat="1" ht="16.5" x14ac:dyDescent="0.4">
      <c r="A71" s="9"/>
      <c r="B71" s="12"/>
      <c r="C71" s="12"/>
      <c r="D71" s="16"/>
      <c r="E71" s="12"/>
      <c r="F71" s="16"/>
      <c r="G71" s="16"/>
      <c r="H71" s="16"/>
      <c r="I71" s="11"/>
      <c r="J71" s="60"/>
      <c r="K71" s="60"/>
    </row>
    <row r="72" spans="1:11" s="8" customFormat="1" ht="16.5" x14ac:dyDescent="0.4">
      <c r="A72" s="9"/>
      <c r="B72" s="12"/>
      <c r="C72" s="12"/>
      <c r="D72" s="16"/>
      <c r="E72" s="12"/>
      <c r="F72" s="16"/>
      <c r="G72" s="16"/>
      <c r="H72" s="16"/>
      <c r="I72" s="11"/>
      <c r="J72" s="60"/>
      <c r="K72" s="60"/>
    </row>
    <row r="73" spans="1:11" s="8" customFormat="1" ht="16.5" x14ac:dyDescent="0.4">
      <c r="A73" s="9"/>
      <c r="B73" s="12"/>
      <c r="C73" s="12"/>
      <c r="D73" s="16"/>
      <c r="E73" s="12"/>
      <c r="F73" s="16"/>
      <c r="G73" s="16"/>
      <c r="H73" s="16"/>
      <c r="I73" s="11"/>
      <c r="J73" s="60"/>
      <c r="K73" s="60"/>
    </row>
    <row r="74" spans="1:11" s="8" customFormat="1" ht="16.5" x14ac:dyDescent="0.4">
      <c r="A74" s="9"/>
      <c r="B74" s="12"/>
      <c r="C74" s="12"/>
      <c r="D74" s="16"/>
      <c r="E74" s="12"/>
      <c r="F74" s="16"/>
      <c r="G74" s="16"/>
      <c r="H74" s="16"/>
      <c r="I74" s="11"/>
      <c r="J74" s="60"/>
      <c r="K74" s="60"/>
    </row>
    <row r="75" spans="1:11" s="8" customFormat="1" ht="16.5" x14ac:dyDescent="0.4">
      <c r="A75" s="9"/>
      <c r="B75" s="12"/>
      <c r="C75" s="12"/>
      <c r="D75" s="16"/>
      <c r="E75" s="12"/>
      <c r="F75" s="16"/>
      <c r="G75" s="16"/>
      <c r="H75" s="16"/>
      <c r="I75" s="11"/>
      <c r="J75" s="60"/>
      <c r="K75" s="60"/>
    </row>
    <row r="76" spans="1:11" s="8" customFormat="1" ht="16.5" x14ac:dyDescent="0.4">
      <c r="A76" s="9"/>
      <c r="B76" s="12"/>
      <c r="C76" s="12"/>
      <c r="D76" s="16"/>
      <c r="E76" s="12"/>
      <c r="F76" s="16"/>
      <c r="G76" s="16"/>
      <c r="H76" s="16"/>
      <c r="I76" s="11"/>
      <c r="J76" s="60"/>
      <c r="K76" s="60"/>
    </row>
    <row r="77" spans="1:11" s="8" customFormat="1" ht="16.5" x14ac:dyDescent="0.4">
      <c r="A77" s="9"/>
      <c r="B77" s="12"/>
      <c r="C77" s="12"/>
      <c r="D77" s="16"/>
      <c r="E77" s="12"/>
      <c r="F77" s="16"/>
      <c r="G77" s="16"/>
      <c r="H77" s="16"/>
      <c r="I77" s="11"/>
      <c r="J77" s="60"/>
      <c r="K77" s="60"/>
    </row>
    <row r="78" spans="1:11" s="8" customFormat="1" ht="16.5" x14ac:dyDescent="0.4">
      <c r="A78" s="9"/>
      <c r="B78" s="12"/>
      <c r="C78" s="12"/>
      <c r="D78" s="16"/>
      <c r="E78" s="12"/>
      <c r="F78" s="16"/>
      <c r="G78" s="16"/>
      <c r="H78" s="16"/>
      <c r="I78" s="11"/>
      <c r="J78" s="60"/>
      <c r="K78" s="60"/>
    </row>
    <row r="79" spans="1:11" s="8" customFormat="1" ht="16.5" x14ac:dyDescent="0.4">
      <c r="A79" s="9"/>
      <c r="B79" s="12"/>
      <c r="C79" s="12"/>
      <c r="D79" s="16"/>
      <c r="E79" s="12"/>
      <c r="F79" s="16"/>
      <c r="G79" s="16"/>
      <c r="H79" s="16"/>
      <c r="I79" s="11"/>
      <c r="J79" s="60"/>
      <c r="K79" s="60"/>
    </row>
    <row r="80" spans="1:11" s="8" customFormat="1" ht="16.5" x14ac:dyDescent="0.4">
      <c r="A80" s="9"/>
      <c r="B80" s="12"/>
      <c r="C80" s="12"/>
      <c r="D80" s="16"/>
      <c r="E80" s="12"/>
      <c r="F80" s="16"/>
      <c r="G80" s="16"/>
      <c r="H80" s="16"/>
      <c r="I80" s="11"/>
      <c r="J80" s="60"/>
      <c r="K80" s="60"/>
    </row>
    <row r="81" spans="1:11" s="8" customFormat="1" ht="16.5" x14ac:dyDescent="0.4">
      <c r="A81" s="9"/>
      <c r="B81" s="12"/>
      <c r="C81" s="12"/>
      <c r="D81" s="16"/>
      <c r="E81" s="12"/>
      <c r="F81" s="16"/>
      <c r="G81" s="16"/>
      <c r="H81" s="16"/>
      <c r="I81" s="11"/>
      <c r="J81" s="60"/>
      <c r="K81" s="60"/>
    </row>
    <row r="82" spans="1:11" s="8" customFormat="1" ht="16.5" x14ac:dyDescent="0.4">
      <c r="A82" s="9"/>
      <c r="B82" s="12"/>
      <c r="C82" s="12"/>
      <c r="D82" s="16"/>
      <c r="E82" s="12"/>
      <c r="F82" s="16"/>
      <c r="G82" s="16"/>
      <c r="H82" s="16"/>
      <c r="I82" s="11"/>
      <c r="J82" s="60"/>
      <c r="K82" s="60"/>
    </row>
    <row r="83" spans="1:11" s="8" customFormat="1" ht="16.5" x14ac:dyDescent="0.4">
      <c r="A83" s="9"/>
      <c r="B83" s="12"/>
      <c r="C83" s="12"/>
      <c r="D83" s="16"/>
      <c r="E83" s="12"/>
      <c r="F83" s="16"/>
      <c r="G83" s="16"/>
      <c r="H83" s="16"/>
      <c r="I83" s="11"/>
      <c r="J83" s="60"/>
      <c r="K83" s="60"/>
    </row>
    <row r="84" spans="1:11" s="8" customFormat="1" ht="16.5" x14ac:dyDescent="0.4">
      <c r="A84" s="9"/>
      <c r="B84" s="12"/>
      <c r="C84" s="12"/>
      <c r="D84" s="16"/>
      <c r="E84" s="12"/>
      <c r="F84" s="16"/>
      <c r="G84" s="16"/>
      <c r="H84" s="16"/>
      <c r="I84" s="11"/>
      <c r="J84" s="60"/>
      <c r="K84" s="60"/>
    </row>
    <row r="85" spans="1:11" s="8" customFormat="1" ht="16.5" x14ac:dyDescent="0.4">
      <c r="A85" s="9"/>
      <c r="B85" s="12"/>
      <c r="C85" s="12"/>
      <c r="D85" s="16"/>
      <c r="E85" s="12"/>
      <c r="F85" s="16"/>
      <c r="G85" s="16"/>
      <c r="H85" s="16"/>
      <c r="I85" s="11"/>
      <c r="J85" s="60"/>
      <c r="K85" s="60"/>
    </row>
    <row r="86" spans="1:11" s="8" customFormat="1" ht="16.5" x14ac:dyDescent="0.4">
      <c r="A86" s="9"/>
      <c r="B86" s="12"/>
      <c r="C86" s="12"/>
      <c r="D86" s="16"/>
      <c r="E86" s="12"/>
      <c r="F86" s="16"/>
      <c r="G86" s="16"/>
      <c r="H86" s="16"/>
      <c r="I86" s="11"/>
      <c r="J86" s="60"/>
      <c r="K86" s="60"/>
    </row>
    <row r="87" spans="1:11" s="8" customFormat="1" ht="16.5" x14ac:dyDescent="0.4">
      <c r="A87" s="9"/>
      <c r="B87" s="12"/>
      <c r="C87" s="12"/>
      <c r="D87" s="16"/>
      <c r="E87" s="12"/>
      <c r="F87" s="16"/>
      <c r="G87" s="16"/>
      <c r="H87" s="16"/>
      <c r="I87" s="11"/>
      <c r="J87" s="60"/>
      <c r="K87" s="60"/>
    </row>
    <row r="88" spans="1:11" s="8" customFormat="1" ht="16.5" x14ac:dyDescent="0.4">
      <c r="A88" s="9"/>
      <c r="B88" s="12"/>
      <c r="C88" s="12"/>
      <c r="D88" s="16"/>
      <c r="E88" s="12"/>
      <c r="F88" s="16"/>
      <c r="G88" s="16"/>
      <c r="H88" s="16"/>
      <c r="I88" s="11"/>
      <c r="J88" s="60"/>
      <c r="K88" s="60"/>
    </row>
    <row r="89" spans="1:11" s="8" customFormat="1" ht="16.5" x14ac:dyDescent="0.4">
      <c r="A89" s="9"/>
      <c r="B89" s="12"/>
      <c r="C89" s="12"/>
      <c r="D89" s="16"/>
      <c r="E89" s="12"/>
      <c r="F89" s="16"/>
      <c r="G89" s="16"/>
      <c r="H89" s="16"/>
      <c r="I89" s="11"/>
      <c r="J89" s="60"/>
      <c r="K89" s="60"/>
    </row>
    <row r="90" spans="1:11" s="8" customFormat="1" ht="16.5" x14ac:dyDescent="0.4">
      <c r="A90" s="9"/>
      <c r="B90" s="12"/>
      <c r="C90" s="12"/>
      <c r="D90" s="16"/>
      <c r="E90" s="12"/>
      <c r="F90" s="16"/>
      <c r="G90" s="16"/>
      <c r="H90" s="16"/>
      <c r="I90" s="11"/>
      <c r="J90" s="60"/>
      <c r="K90" s="60"/>
    </row>
    <row r="91" spans="1:11" s="8" customFormat="1" ht="16.5" x14ac:dyDescent="0.4">
      <c r="A91" s="9"/>
      <c r="B91" s="12"/>
      <c r="C91" s="12"/>
      <c r="D91" s="16"/>
      <c r="E91" s="12"/>
      <c r="F91" s="16"/>
      <c r="G91" s="16"/>
      <c r="H91" s="16"/>
      <c r="I91" s="11"/>
      <c r="J91" s="60"/>
      <c r="K91" s="60"/>
    </row>
    <row r="92" spans="1:11" s="8" customFormat="1" ht="16.5" x14ac:dyDescent="0.4">
      <c r="A92" s="9"/>
      <c r="B92" s="12"/>
      <c r="C92" s="12"/>
      <c r="D92" s="16"/>
      <c r="E92" s="12"/>
      <c r="F92" s="16"/>
      <c r="G92" s="16"/>
      <c r="H92" s="16"/>
      <c r="I92" s="11"/>
      <c r="J92" s="60"/>
      <c r="K92" s="60"/>
    </row>
    <row r="93" spans="1:11" s="8" customFormat="1" ht="16.5" x14ac:dyDescent="0.4">
      <c r="A93" s="9"/>
      <c r="B93" s="12"/>
      <c r="C93" s="12"/>
      <c r="D93" s="16"/>
      <c r="E93" s="12"/>
      <c r="F93" s="16"/>
      <c r="G93" s="16"/>
      <c r="H93" s="16"/>
      <c r="I93" s="11"/>
      <c r="J93" s="60"/>
      <c r="K93" s="60"/>
    </row>
    <row r="94" spans="1:11" s="8" customFormat="1" ht="16.5" x14ac:dyDescent="0.4">
      <c r="A94" s="9"/>
      <c r="B94" s="12"/>
      <c r="C94" s="12"/>
      <c r="D94" s="16"/>
      <c r="E94" s="12"/>
      <c r="F94" s="16"/>
      <c r="G94" s="16"/>
      <c r="H94" s="16"/>
      <c r="I94" s="11"/>
      <c r="J94" s="60"/>
      <c r="K94" s="60"/>
    </row>
    <row r="95" spans="1:11" s="8" customFormat="1" ht="16.5" x14ac:dyDescent="0.4">
      <c r="A95" s="9"/>
      <c r="B95" s="12"/>
      <c r="C95" s="12"/>
      <c r="D95" s="16"/>
      <c r="E95" s="12"/>
      <c r="F95" s="16"/>
      <c r="G95" s="16"/>
      <c r="H95" s="16"/>
      <c r="I95" s="11"/>
      <c r="J95" s="60"/>
      <c r="K95" s="60"/>
    </row>
    <row r="96" spans="1:11" s="8" customFormat="1" ht="16.5" x14ac:dyDescent="0.4">
      <c r="A96" s="9"/>
      <c r="B96" s="12"/>
      <c r="C96" s="12"/>
      <c r="D96" s="16"/>
      <c r="E96" s="12"/>
      <c r="F96" s="16"/>
      <c r="G96" s="16"/>
      <c r="H96" s="16"/>
      <c r="I96" s="11"/>
      <c r="J96" s="60"/>
      <c r="K96" s="60"/>
    </row>
    <row r="97" spans="1:11" s="8" customFormat="1" ht="16.5" x14ac:dyDescent="0.4">
      <c r="A97" s="9"/>
      <c r="B97" s="12"/>
      <c r="C97" s="12"/>
      <c r="D97" s="16"/>
      <c r="E97" s="12"/>
      <c r="F97" s="16"/>
      <c r="G97" s="16"/>
      <c r="H97" s="16"/>
      <c r="I97" s="11"/>
      <c r="J97" s="60"/>
      <c r="K97" s="60"/>
    </row>
    <row r="98" spans="1:11" s="8" customFormat="1" ht="16.5" x14ac:dyDescent="0.4">
      <c r="A98" s="9"/>
      <c r="B98" s="12"/>
      <c r="C98" s="12"/>
      <c r="D98" s="16"/>
      <c r="E98" s="12"/>
      <c r="F98" s="16"/>
      <c r="G98" s="16"/>
      <c r="H98" s="16"/>
      <c r="I98" s="11"/>
      <c r="J98" s="60"/>
      <c r="K98" s="60"/>
    </row>
    <row r="99" spans="1:11" s="8" customFormat="1" ht="16.5" x14ac:dyDescent="0.4">
      <c r="A99" s="9"/>
      <c r="B99" s="12"/>
      <c r="C99" s="12"/>
      <c r="D99" s="16"/>
      <c r="E99" s="12"/>
      <c r="F99" s="16"/>
      <c r="G99" s="16"/>
      <c r="H99" s="16"/>
      <c r="I99" s="11"/>
      <c r="J99" s="60"/>
      <c r="K99" s="60"/>
    </row>
    <row r="100" spans="1:11" s="8" customFormat="1" ht="16.5" x14ac:dyDescent="0.4">
      <c r="A100" s="9"/>
      <c r="B100" s="12"/>
      <c r="C100" s="12"/>
      <c r="D100" s="16"/>
      <c r="E100" s="12"/>
      <c r="F100" s="16"/>
      <c r="G100" s="16"/>
      <c r="H100" s="16"/>
      <c r="I100" s="11"/>
      <c r="J100" s="60"/>
      <c r="K100" s="60"/>
    </row>
    <row r="101" spans="1:11" s="8" customFormat="1" ht="16.5" x14ac:dyDescent="0.4">
      <c r="A101" s="9"/>
      <c r="B101" s="12"/>
      <c r="C101" s="12"/>
      <c r="D101" s="16"/>
      <c r="E101" s="12"/>
      <c r="F101" s="16"/>
      <c r="G101" s="16"/>
      <c r="H101" s="16"/>
      <c r="I101" s="11"/>
      <c r="J101" s="60"/>
      <c r="K101" s="60"/>
    </row>
    <row r="102" spans="1:11" s="8" customFormat="1" ht="16.5" x14ac:dyDescent="0.4">
      <c r="A102" s="9"/>
      <c r="B102" s="12"/>
      <c r="C102" s="12"/>
      <c r="D102" s="16"/>
      <c r="E102" s="12"/>
      <c r="F102" s="16"/>
      <c r="G102" s="16"/>
      <c r="H102" s="16"/>
      <c r="I102" s="11"/>
      <c r="J102" s="60"/>
      <c r="K102" s="60"/>
    </row>
    <row r="103" spans="1:11" s="8" customFormat="1" ht="16.5" x14ac:dyDescent="0.4">
      <c r="A103" s="9"/>
      <c r="B103" s="12"/>
      <c r="C103" s="12"/>
      <c r="D103" s="16"/>
      <c r="E103" s="12"/>
      <c r="F103" s="16"/>
      <c r="G103" s="16"/>
      <c r="H103" s="16"/>
      <c r="I103" s="11"/>
      <c r="J103" s="60"/>
      <c r="K103" s="60"/>
    </row>
    <row r="104" spans="1:11" s="8" customFormat="1" ht="16.5" x14ac:dyDescent="0.4">
      <c r="A104" s="9"/>
      <c r="B104" s="12"/>
      <c r="C104" s="12"/>
      <c r="D104" s="16"/>
      <c r="E104" s="12"/>
      <c r="F104" s="16"/>
      <c r="G104" s="16"/>
      <c r="H104" s="16"/>
      <c r="I104" s="11"/>
      <c r="J104" s="60"/>
      <c r="K104" s="60"/>
    </row>
    <row r="105" spans="1:11" s="8" customFormat="1" ht="16.5" x14ac:dyDescent="0.4">
      <c r="A105" s="9"/>
      <c r="B105" s="12"/>
      <c r="C105" s="12"/>
      <c r="D105" s="16"/>
      <c r="E105" s="12"/>
      <c r="F105" s="16"/>
      <c r="G105" s="16"/>
      <c r="H105" s="16"/>
      <c r="I105" s="11"/>
      <c r="J105" s="60"/>
      <c r="K105" s="60"/>
    </row>
    <row r="106" spans="1:11" s="8" customFormat="1" ht="16.5" x14ac:dyDescent="0.4">
      <c r="A106" s="9"/>
      <c r="B106" s="12"/>
      <c r="C106" s="12"/>
      <c r="D106" s="16"/>
      <c r="E106" s="12"/>
      <c r="F106" s="16"/>
      <c r="G106" s="16"/>
      <c r="H106" s="16"/>
      <c r="I106" s="11"/>
      <c r="J106" s="60"/>
      <c r="K106" s="60"/>
    </row>
    <row r="107" spans="1:11" s="8" customFormat="1" ht="16.5" x14ac:dyDescent="0.4">
      <c r="A107" s="9"/>
      <c r="B107" s="12"/>
      <c r="C107" s="12"/>
      <c r="D107" s="16"/>
      <c r="E107" s="12"/>
      <c r="F107" s="16"/>
      <c r="G107" s="16"/>
      <c r="H107" s="16"/>
      <c r="I107" s="11"/>
      <c r="J107" s="60"/>
      <c r="K107" s="60"/>
    </row>
    <row r="108" spans="1:11" s="8" customFormat="1" ht="16.5" x14ac:dyDescent="0.4">
      <c r="A108" s="9"/>
      <c r="B108" s="12"/>
      <c r="C108" s="12"/>
      <c r="D108" s="16"/>
      <c r="E108" s="12"/>
      <c r="F108" s="16"/>
      <c r="G108" s="16"/>
      <c r="H108" s="16"/>
      <c r="I108" s="11"/>
      <c r="J108" s="60"/>
      <c r="K108" s="60"/>
    </row>
    <row r="109" spans="1:11" s="8" customFormat="1" ht="16.5" x14ac:dyDescent="0.4">
      <c r="A109" s="9"/>
      <c r="B109" s="12"/>
      <c r="C109" s="12"/>
      <c r="D109" s="16"/>
      <c r="E109" s="12"/>
      <c r="F109" s="16"/>
      <c r="G109" s="16"/>
      <c r="H109" s="16"/>
      <c r="I109" s="11"/>
      <c r="J109" s="60"/>
      <c r="K109" s="60"/>
    </row>
    <row r="110" spans="1:11" s="8" customFormat="1" ht="16.5" x14ac:dyDescent="0.4">
      <c r="A110" s="9"/>
      <c r="B110" s="12"/>
      <c r="C110" s="12"/>
      <c r="D110" s="16"/>
      <c r="E110" s="12"/>
      <c r="F110" s="16"/>
      <c r="G110" s="16"/>
      <c r="H110" s="16"/>
      <c r="I110" s="11"/>
      <c r="J110" s="60"/>
      <c r="K110" s="60"/>
    </row>
    <row r="111" spans="1:11" s="8" customFormat="1" ht="16.5" x14ac:dyDescent="0.4">
      <c r="A111" s="9"/>
      <c r="B111" s="12"/>
      <c r="C111" s="12"/>
      <c r="D111" s="16"/>
      <c r="E111" s="12"/>
      <c r="F111" s="16"/>
      <c r="G111" s="16"/>
      <c r="H111" s="16"/>
      <c r="I111" s="11"/>
      <c r="J111" s="60"/>
      <c r="K111" s="60"/>
    </row>
    <row r="112" spans="1:11" s="8" customFormat="1" ht="16.5" x14ac:dyDescent="0.4">
      <c r="A112" s="9"/>
      <c r="B112" s="12"/>
      <c r="C112" s="12"/>
      <c r="D112" s="16"/>
      <c r="E112" s="12"/>
      <c r="F112" s="16"/>
      <c r="G112" s="16"/>
      <c r="H112" s="16"/>
      <c r="I112" s="11"/>
      <c r="J112" s="60"/>
      <c r="K112" s="60"/>
    </row>
    <row r="113" spans="1:11" s="8" customFormat="1" ht="16.5" x14ac:dyDescent="0.4">
      <c r="A113" s="9"/>
      <c r="B113" s="12"/>
      <c r="C113" s="12"/>
      <c r="D113" s="16"/>
      <c r="E113" s="12"/>
      <c r="F113" s="16"/>
      <c r="G113" s="16"/>
      <c r="H113" s="16"/>
      <c r="I113" s="11"/>
      <c r="J113" s="60"/>
      <c r="K113" s="60"/>
    </row>
    <row r="114" spans="1:11" s="8" customFormat="1" ht="16.5" x14ac:dyDescent="0.4">
      <c r="A114" s="9"/>
      <c r="B114" s="12"/>
      <c r="C114" s="12"/>
      <c r="D114" s="16"/>
      <c r="E114" s="12"/>
      <c r="F114" s="16"/>
      <c r="G114" s="16"/>
      <c r="H114" s="16"/>
      <c r="I114" s="11"/>
      <c r="J114" s="60"/>
      <c r="K114" s="60"/>
    </row>
    <row r="115" spans="1:11" s="8" customFormat="1" ht="16.5" x14ac:dyDescent="0.4">
      <c r="A115" s="9"/>
      <c r="B115" s="12"/>
      <c r="C115" s="12"/>
      <c r="D115" s="16"/>
      <c r="E115" s="12"/>
      <c r="F115" s="16"/>
      <c r="G115" s="16"/>
      <c r="H115" s="16"/>
      <c r="I115" s="11"/>
      <c r="J115" s="60"/>
      <c r="K115" s="60"/>
    </row>
    <row r="116" spans="1:11" s="8" customFormat="1" ht="16.5" x14ac:dyDescent="0.4">
      <c r="A116" s="9"/>
      <c r="B116" s="12"/>
      <c r="C116" s="12"/>
      <c r="D116" s="16"/>
      <c r="E116" s="12"/>
      <c r="F116" s="16"/>
      <c r="G116" s="16"/>
      <c r="H116" s="16"/>
      <c r="I116" s="11"/>
      <c r="J116" s="60"/>
      <c r="K116" s="60"/>
    </row>
    <row r="117" spans="1:11" s="8" customFormat="1" ht="16.5" x14ac:dyDescent="0.4">
      <c r="A117" s="9"/>
      <c r="B117" s="12"/>
      <c r="C117" s="12"/>
      <c r="D117" s="16"/>
      <c r="E117" s="12"/>
      <c r="F117" s="16"/>
      <c r="G117" s="16"/>
      <c r="H117" s="16"/>
      <c r="I117" s="11"/>
      <c r="J117" s="60"/>
      <c r="K117" s="60"/>
    </row>
    <row r="118" spans="1:11" s="8" customFormat="1" ht="16.5" x14ac:dyDescent="0.4">
      <c r="A118" s="9"/>
      <c r="B118" s="12"/>
      <c r="C118" s="12"/>
      <c r="D118" s="16"/>
      <c r="E118" s="12"/>
      <c r="F118" s="16"/>
      <c r="G118" s="16"/>
      <c r="H118" s="16"/>
      <c r="I118" s="11"/>
      <c r="J118" s="60"/>
      <c r="K118" s="60"/>
    </row>
  </sheetData>
  <autoFilter ref="A1:I51" xr:uid="{5AD4A891-9F94-4E69-A606-4AA02EC97A79}">
    <filterColumn colId="3">
      <filters>
        <filter val="★★"/>
      </filters>
    </filterColumn>
  </autoFilter>
  <phoneticPr fontId="3"/>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BCB3B-1A39-418A-B634-85D84FA8850E}">
  <dimension ref="A1:Z497"/>
  <sheetViews>
    <sheetView tabSelected="1" topLeftCell="Q1" zoomScale="110" zoomScaleNormal="110" workbookViewId="0">
      <pane ySplit="1" topLeftCell="A2" activePane="bottomLeft" state="frozen"/>
      <selection pane="bottomLeft" activeCell="Y1" sqref="Y1"/>
    </sheetView>
  </sheetViews>
  <sheetFormatPr defaultRowHeight="18.75" x14ac:dyDescent="0.4"/>
  <cols>
    <col min="1" max="1" width="4.625" customWidth="1"/>
    <col min="2" max="2" width="16.125" style="3" customWidth="1"/>
    <col min="3" max="6" width="18.25" style="3" customWidth="1"/>
    <col min="7" max="7" width="10" style="3" customWidth="1"/>
    <col min="8" max="8" width="8" customWidth="1"/>
    <col min="9" max="9" width="29.625" style="3" customWidth="1"/>
    <col min="10" max="13" width="54.875" customWidth="1"/>
    <col min="14" max="15" width="33.625" customWidth="1"/>
    <col min="16" max="16" width="10.5" bestFit="1" customWidth="1"/>
    <col min="17" max="17" width="41.625" style="28" customWidth="1"/>
    <col min="18" max="18" width="13.75" style="28" customWidth="1"/>
    <col min="19" max="19" width="0.25" customWidth="1"/>
    <col min="20" max="20" width="9" customWidth="1"/>
    <col min="21" max="21" width="27.5" style="28" customWidth="1"/>
    <col min="22" max="22" width="36.125" style="28" customWidth="1"/>
    <col min="23" max="23" width="40.875" style="28" customWidth="1"/>
    <col min="24" max="24" width="17.125" style="28" customWidth="1"/>
    <col min="25" max="25" width="12" customWidth="1"/>
    <col min="26" max="26" width="10.875" customWidth="1"/>
  </cols>
  <sheetData>
    <row r="1" spans="1:26" ht="24" thickTop="1" thickBot="1" x14ac:dyDescent="0.45">
      <c r="A1" s="42" t="s">
        <v>4</v>
      </c>
      <c r="B1" s="42" t="s">
        <v>40</v>
      </c>
      <c r="C1" s="42" t="s">
        <v>41</v>
      </c>
      <c r="D1" s="25" t="s">
        <v>387</v>
      </c>
      <c r="E1" s="25" t="s">
        <v>388</v>
      </c>
      <c r="F1" s="25" t="s">
        <v>386</v>
      </c>
      <c r="G1" s="25" t="s">
        <v>408</v>
      </c>
      <c r="H1" s="42" t="s">
        <v>1</v>
      </c>
      <c r="I1" s="48" t="s">
        <v>321</v>
      </c>
      <c r="J1" s="48" t="s">
        <v>437</v>
      </c>
      <c r="K1" s="26" t="s">
        <v>411</v>
      </c>
      <c r="L1" s="27" t="s">
        <v>412</v>
      </c>
      <c r="M1" s="27" t="s">
        <v>445</v>
      </c>
      <c r="N1" s="42" t="s">
        <v>133</v>
      </c>
      <c r="O1" s="42" t="s">
        <v>16</v>
      </c>
      <c r="P1" s="42" t="s">
        <v>3</v>
      </c>
      <c r="Q1" s="37" t="s">
        <v>415</v>
      </c>
      <c r="R1" s="38" t="s">
        <v>440</v>
      </c>
      <c r="T1" s="41" t="s">
        <v>444</v>
      </c>
      <c r="U1" s="41" t="s">
        <v>436</v>
      </c>
      <c r="V1" s="41" t="s">
        <v>2</v>
      </c>
      <c r="W1" s="41" t="s">
        <v>438</v>
      </c>
      <c r="X1" s="41" t="s">
        <v>439</v>
      </c>
      <c r="Y1" s="63" t="s">
        <v>586</v>
      </c>
      <c r="Z1" s="63" t="s">
        <v>588</v>
      </c>
    </row>
    <row r="2" spans="1:26" s="8" customFormat="1" ht="96.75" thickTop="1" x14ac:dyDescent="0.4">
      <c r="A2" s="43">
        <v>5</v>
      </c>
      <c r="B2" s="44" t="s">
        <v>23</v>
      </c>
      <c r="C2" s="44" t="s">
        <v>25</v>
      </c>
      <c r="D2" s="51" t="str">
        <f>RIGHT(B2,LEN(B2)-9)</f>
        <v>Validation of AP domain data using Xquery</v>
      </c>
      <c r="E2" s="51" t="str">
        <f>LEFT(C2,LEN(C2)-4)</f>
        <v>CJUG_SDTM_Kansai_Ogawa_20160408</v>
      </c>
      <c r="F2" s="51" t="s">
        <v>389</v>
      </c>
      <c r="G2" s="51"/>
      <c r="H2" s="43" t="s">
        <v>26</v>
      </c>
      <c r="I2" s="44" t="s">
        <v>27</v>
      </c>
      <c r="J2" s="44" t="s">
        <v>364</v>
      </c>
      <c r="K2" s="51"/>
      <c r="L2" s="51" t="str">
        <f>IF(K2="",J2,K2)</f>
        <v xml:space="preserve">Pinnacle21では対応困難なValidation課題（特にAPドメイン）に対し、XQueryを用いてDataset-XMLおよびDefine.xmlを直接検証するアプローチを提示した資料。Validationをツール依存から設計可能なプロセスへ拡張することを目的としている。
</v>
      </c>
      <c r="M2" s="51" t="s">
        <v>416</v>
      </c>
      <c r="N2" s="44" t="s">
        <v>146</v>
      </c>
      <c r="O2" s="44" t="s">
        <v>150</v>
      </c>
      <c r="P2" s="49">
        <v>2016</v>
      </c>
      <c r="Q2" s="53" t="str">
        <f>F2&amp;"："&amp;M2</f>
        <v>Validation of AP domain data using Xquery：Pinnacle21で困難なAPドメイン等の検証を、XQueryで直接行うプロセスを提示</v>
      </c>
      <c r="R2" s="54" t="s">
        <v>441</v>
      </c>
      <c r="S2" s="36"/>
      <c r="T2" s="39">
        <f>P2</f>
        <v>2016</v>
      </c>
      <c r="U2" s="40" t="str">
        <f>F2</f>
        <v>Validation of AP domain data using Xquery</v>
      </c>
      <c r="V2" s="40" t="str">
        <f>L2</f>
        <v xml:space="preserve">Pinnacle21では対応困難なValidation課題（特にAPドメイン）に対し、XQueryを用いてDataset-XMLおよびDefine.xmlを直接検証するアプローチを提示した資料。Validationをツール依存から設計可能なプロセスへ拡張することを目的としている。
</v>
      </c>
      <c r="W2" s="40" t="str">
        <f>N2</f>
        <v>・P21で対応できないドメイン（AP等）のValidation方法を検討するときに使用
・Validationエラーの妥当性を自分で検証・設計したいときに使用
・Define.xmlとDataset-XMLの整合性チェック方法を設計するときに使用
・Validationロジックを説明可能な形で構築するときに使用</v>
      </c>
      <c r="X2" s="55"/>
      <c r="Y2" s="64" t="s">
        <v>581</v>
      </c>
      <c r="Z2" s="65" t="s">
        <v>582</v>
      </c>
    </row>
    <row r="3" spans="1:26" s="8" customFormat="1" ht="120" x14ac:dyDescent="0.4">
      <c r="A3" s="43">
        <v>6</v>
      </c>
      <c r="B3" s="44" t="s">
        <v>31</v>
      </c>
      <c r="C3" s="44" t="s">
        <v>29</v>
      </c>
      <c r="D3" s="51" t="str">
        <f>RIGHT(B3,LEN(B3)-9)</f>
        <v>Create SDTM Datasets for extended study</v>
      </c>
      <c r="E3" s="51" t="str">
        <f>LEFT(C3,LEN(C3)-4)</f>
        <v>Creation of  SDTM for ex-study</v>
      </c>
      <c r="F3" s="51" t="s">
        <v>390</v>
      </c>
      <c r="G3" s="51"/>
      <c r="H3" s="43" t="s">
        <v>26</v>
      </c>
      <c r="I3" s="44" t="s">
        <v>147</v>
      </c>
      <c r="J3" s="44" t="s">
        <v>365</v>
      </c>
      <c r="K3" s="51"/>
      <c r="L3" s="51" t="str">
        <f>IF(K3="",J3,K3)</f>
        <v xml:space="preserve">延長試験（Extension Study）におけるSDTMデータ設計の課題を整理し、Segmentation（分割）とConsolidation（統合）の比較を通じて、Validationおよび規制レビューに耐える設計方針を提示した資料。特にDM・STUDYID・時系列変数に起因する構造的問題を扱う。
</v>
      </c>
      <c r="M3" s="51" t="s">
        <v>417</v>
      </c>
      <c r="N3" s="44" t="s">
        <v>149</v>
      </c>
      <c r="O3" s="44" t="s">
        <v>152</v>
      </c>
      <c r="P3" s="49">
        <v>2016</v>
      </c>
      <c r="Q3" s="53" t="str">
        <f>F3&amp;"："&amp;M3</f>
        <v>Create SDTM Datasets for extended study：延長試験のSDTM設計における課題を整理し、分割と統合の比較を通じて規制要件に耐える設計方針を提示</v>
      </c>
      <c r="R3" s="54" t="s">
        <v>441</v>
      </c>
      <c r="S3" s="36"/>
      <c r="T3" s="39">
        <f t="shared" ref="T3:T25" si="0">P3</f>
        <v>2016</v>
      </c>
      <c r="U3" s="40" t="str">
        <f t="shared" ref="U3:U25" si="1">F3</f>
        <v>Create SDTM Datasets for extended study</v>
      </c>
      <c r="V3" s="40" t="str">
        <f t="shared" ref="V3:V25" si="2">L3</f>
        <v xml:space="preserve">延長試験（Extension Study）におけるSDTMデータ設計の課題を整理し、Segmentation（分割）とConsolidation（統合）の比較を通じて、Validationおよび規制レビューに耐える設計方針を提示した資料。特にDM・STUDYID・時系列変数に起因する構造的問題を扱う。
</v>
      </c>
      <c r="W3" s="40" t="str">
        <f t="shared" ref="W3:W25" si="3">N3</f>
        <v>・延長試験でSTUDYIDを分割するか統合するか判断するときに使用
・DM設計で被験者一意性が崩れるケースに対応するときに使用
・--DYなど時系列変数の設計方針を決めるときに使用
・P21で大量のValidationエラーが発生した原因を分析するときに使用
・規制レビューを前提としたSDTM構造を設計するときに使用</v>
      </c>
      <c r="X3" s="55"/>
      <c r="Y3" s="66" t="s">
        <v>581</v>
      </c>
      <c r="Z3" s="67" t="s">
        <v>582</v>
      </c>
    </row>
    <row r="4" spans="1:26" s="8" customFormat="1" ht="120" x14ac:dyDescent="0.4">
      <c r="A4" s="43">
        <v>8</v>
      </c>
      <c r="B4" s="44" t="s">
        <v>39</v>
      </c>
      <c r="C4" s="44" t="s">
        <v>37</v>
      </c>
      <c r="D4" s="51" t="str">
        <f t="shared" ref="D4:D5" si="4">RIGHT(B4,LEN(B4)-9)</f>
        <v>Therapeutic Area Standard Overview</v>
      </c>
      <c r="E4" s="51" t="str">
        <f t="shared" ref="E4:E5" si="5">LEFT(C4,LEN(C4)-4)</f>
        <v>taugs_overview_20160610</v>
      </c>
      <c r="F4" s="51" t="s">
        <v>391</v>
      </c>
      <c r="G4" s="51"/>
      <c r="H4" s="43" t="s">
        <v>26</v>
      </c>
      <c r="I4" s="44" t="s">
        <v>157</v>
      </c>
      <c r="J4" s="44" t="s">
        <v>366</v>
      </c>
      <c r="K4" s="51"/>
      <c r="L4" s="51" t="str">
        <f t="shared" ref="L4:L5" si="6">IF(K4="",J4,K4)</f>
        <v xml:space="preserve">TAUG（Therapeutic Area User Guide）の役割と構造、およびSDTMIGでは扱えない疾患特有データをどのように標準化・実装するかを示した資料。SDTMの拡張設計における実務指針を提供する。
</v>
      </c>
      <c r="M4" s="51" t="s">
        <v>418</v>
      </c>
      <c r="N4" s="44" t="s">
        <v>159</v>
      </c>
      <c r="O4" s="44" t="s">
        <v>160</v>
      </c>
      <c r="P4" s="49">
        <v>2016</v>
      </c>
      <c r="Q4" s="53" t="str">
        <f t="shared" ref="Q4:Q5" si="7">F4&amp;"："&amp;M4</f>
        <v>Therapeutic Area Standard Overview：TAUGの役割と構造、SDTMIGで扱えない疾患特有データの標準化・実装指針を提供</v>
      </c>
      <c r="R4" s="54" t="s">
        <v>441</v>
      </c>
      <c r="S4" s="36"/>
      <c r="T4" s="39">
        <f t="shared" si="0"/>
        <v>2016</v>
      </c>
      <c r="U4" s="40" t="str">
        <f t="shared" si="1"/>
        <v>Therapeutic Area Standard Overview</v>
      </c>
      <c r="V4" s="40" t="str">
        <f t="shared" si="2"/>
        <v xml:space="preserve">TAUG（Therapeutic Area User Guide）の役割と構造、およびSDTMIGでは扱えない疾患特有データをどのように標準化・実装するかを示した資料。SDTMの拡張設計における実務指針を提供する。
</v>
      </c>
      <c r="W4" s="40" t="str">
        <f t="shared" si="3"/>
        <v>・疾患特有データをどのドメインに格納するか判断するときに使用
・標準変数で表現できない項目に対してNSVを採用するか判断するときに使用
・TAUGを使うべきか（SDTMIGだけで対応可能か）を判断するときに使用
・新規ドメイン（OE, NVなど）の採用判断をするときに使用
・レビューでドメイン選択理由を説明するときに使用</v>
      </c>
      <c r="X4" s="55"/>
      <c r="Y4" s="66" t="s">
        <v>579</v>
      </c>
      <c r="Z4" s="67" t="s">
        <v>580</v>
      </c>
    </row>
    <row r="5" spans="1:26" s="8" customFormat="1" ht="120" x14ac:dyDescent="0.4">
      <c r="A5" s="43">
        <v>9</v>
      </c>
      <c r="B5" s="44" t="s">
        <v>43</v>
      </c>
      <c r="C5" s="44" t="s">
        <v>45</v>
      </c>
      <c r="D5" s="51" t="str">
        <f t="shared" si="4"/>
        <v>Metadata Management</v>
      </c>
      <c r="E5" s="51" t="str">
        <f t="shared" si="5"/>
        <v>20160819_CJUG_SDTM_Metadata_management</v>
      </c>
      <c r="F5" s="51" t="s">
        <v>392</v>
      </c>
      <c r="G5" s="51"/>
      <c r="H5" s="43" t="s">
        <v>26</v>
      </c>
      <c r="I5" s="44" t="s">
        <v>161</v>
      </c>
      <c r="J5" s="44" t="s">
        <v>367</v>
      </c>
      <c r="K5" s="51"/>
      <c r="L5" s="51" t="str">
        <f t="shared" si="6"/>
        <v xml:space="preserve">SDTM/ADaMにおけるメタデータ（Dataset・Variable・Controlled Terminologyなど）の管理方針を整理し、特にCT（Controlled Terminology）のバージョン管理・統一戦略に関する実務課題と対応方針を示した資料。
</v>
      </c>
      <c r="M5" s="51" t="s">
        <v>419</v>
      </c>
      <c r="N5" s="44" t="s">
        <v>163</v>
      </c>
      <c r="O5" s="44" t="s">
        <v>164</v>
      </c>
      <c r="P5" s="49">
        <v>2016</v>
      </c>
      <c r="Q5" s="53" t="str">
        <f t="shared" si="7"/>
        <v>Metadata Management：SDTM/ADaMのメタデータ管理、特にCTのバージョン管理と統一戦略の方針を整理</v>
      </c>
      <c r="R5" s="54" t="s">
        <v>441</v>
      </c>
      <c r="S5" s="36"/>
      <c r="T5" s="39">
        <f t="shared" si="0"/>
        <v>2016</v>
      </c>
      <c r="U5" s="40" t="str">
        <f t="shared" si="1"/>
        <v>Metadata Management</v>
      </c>
      <c r="V5" s="40" t="str">
        <f t="shared" si="2"/>
        <v xml:space="preserve">SDTM/ADaMにおけるメタデータ（Dataset・Variable・Controlled Terminologyなど）の管理方針を整理し、特にCT（Controlled Terminology）のバージョン管理・統一戦略に関する実務課題と対応方針を示した資料。
</v>
      </c>
      <c r="W5" s="40" t="str">
        <f t="shared" si="3"/>
        <v>・CTのバージョン更新タイミングを決定するときに使用
・製品横断でCTを統一するか試験単位で最適化するか判断するときに使用
・ISS/ISE用データ統合がうまくいかない原因を分析するときに使用
・Define.xmlやSDRGでCT差異を説明する方針を決めるときに使用
・メタデータ管理（Sponsorレベル）の設計方針を決めるときに使用</v>
      </c>
      <c r="X5" s="55"/>
      <c r="Y5" s="66" t="s">
        <v>579</v>
      </c>
      <c r="Z5" s="67" t="s">
        <v>580</v>
      </c>
    </row>
    <row r="6" spans="1:26" s="8" customFormat="1" ht="72" x14ac:dyDescent="0.4">
      <c r="A6" s="43">
        <v>14</v>
      </c>
      <c r="B6" s="44" t="s">
        <v>199</v>
      </c>
      <c r="C6" s="44" t="s">
        <v>198</v>
      </c>
      <c r="D6" s="51" t="str">
        <f>RIGHT(B6,LEN(B6)-9)</f>
        <v>Value Level Metadata検討</v>
      </c>
      <c r="E6" s="51" t="str">
        <f>LEFT(C6,LEN(C6)-4)</f>
        <v>Value Level Metadataに関する検討</v>
      </c>
      <c r="F6" s="51" t="s">
        <v>393</v>
      </c>
      <c r="G6" s="51"/>
      <c r="H6" s="43" t="s">
        <v>26</v>
      </c>
      <c r="I6" s="44" t="s">
        <v>200</v>
      </c>
      <c r="J6" s="44" t="s">
        <v>368</v>
      </c>
      <c r="K6" s="51"/>
      <c r="L6" s="51" t="str">
        <f>IF(K6="",J6,K6)</f>
        <v xml:space="preserve">Value Level Metadata（VLM）の設計方針について、Define-XML v2.0・SDTMIG・PMDAルールの不整合を整理し、実務上の最適なVLM設計（最小化・整合性確保）を提示した資料。
</v>
      </c>
      <c r="M6" s="51" t="s">
        <v>420</v>
      </c>
      <c r="N6" s="44" t="s">
        <v>202</v>
      </c>
      <c r="O6" s="44" t="s">
        <v>203</v>
      </c>
      <c r="P6" s="49">
        <v>2016</v>
      </c>
      <c r="Q6" s="53" t="str">
        <f>F6&amp;"："&amp;M6</f>
        <v>Value Level Metadata検討：Define-XMLやPMDAルールの不整合を整理し、最適なVLM設計を提示</v>
      </c>
      <c r="R6" s="54" t="s">
        <v>441</v>
      </c>
      <c r="S6" s="36"/>
      <c r="T6" s="39">
        <f t="shared" si="0"/>
        <v>2016</v>
      </c>
      <c r="U6" s="40" t="str">
        <f t="shared" si="1"/>
        <v>Value Level Metadata検討</v>
      </c>
      <c r="V6" s="40" t="str">
        <f t="shared" si="2"/>
        <v xml:space="preserve">Value Level Metadata（VLM）の設計方針について、Define-XML v2.0・SDTMIG・PMDAルールの不整合を整理し、実務上の最適なVLM設計（最小化・整合性確保）を提示した資料。
</v>
      </c>
      <c r="W6" s="40" t="str">
        <f t="shared" si="3"/>
        <v>・VLM作成範囲の判断
・Define.xmlの簡素化設計
・Origin不整合エラー分析
・Comparator設計ルール策定
・SUPPQUAL対応</v>
      </c>
      <c r="X6" s="55"/>
      <c r="Y6" s="66" t="s">
        <v>581</v>
      </c>
      <c r="Z6" s="67" t="s">
        <v>580</v>
      </c>
    </row>
    <row r="7" spans="1:26" s="8" customFormat="1" ht="84" x14ac:dyDescent="0.4">
      <c r="A7" s="43">
        <v>22</v>
      </c>
      <c r="B7" s="44" t="s">
        <v>245</v>
      </c>
      <c r="C7" s="44" t="s">
        <v>244</v>
      </c>
      <c r="D7" s="51" t="str">
        <f t="shared" ref="D7:D11" si="8">RIGHT(B7,LEN(B7)-9)</f>
        <v>How to manage of best practices for Controlled Terminology</v>
      </c>
      <c r="E7" s="51" t="str">
        <f t="shared" ref="E7:E11" si="9">LEFT(C7,LEN(C7)-4)</f>
        <v>Controlled Terminology管理のベストプラクティスを検討する</v>
      </c>
      <c r="F7" s="51" t="s">
        <v>413</v>
      </c>
      <c r="G7" s="51"/>
      <c r="H7" s="43" t="s">
        <v>26</v>
      </c>
      <c r="I7" s="44" t="s">
        <v>246</v>
      </c>
      <c r="J7" s="44" t="s">
        <v>369</v>
      </c>
      <c r="K7" s="51"/>
      <c r="L7" s="51" t="str">
        <f t="shared" ref="L7:L11" si="10">IF(K7="",J7,K7)</f>
        <v xml:space="preserve">Controlled Terminology（CT）の頻繁な更新と試験間不整合の問題を解決するため、組織横断でのCT管理プロセス、独自ID（組織コード）による一貫管理、およびメタデータ基盤を用いたベストプラクティスを提示した資料。
</v>
      </c>
      <c r="M7" s="51" t="s">
        <v>421</v>
      </c>
      <c r="N7" s="44" t="s">
        <v>248</v>
      </c>
      <c r="O7" s="44" t="s">
        <v>249</v>
      </c>
      <c r="P7" s="49">
        <v>2017</v>
      </c>
      <c r="Q7" s="53" t="str">
        <f t="shared" ref="Q7:Q11" si="11">F7&amp;"："&amp;M7</f>
        <v>How to manage of best practices for Controlled Terminology：組織横断でのCT管理プロセスや独自IDによる一貫管理のベストプラクティスを提示</v>
      </c>
      <c r="R7" s="54" t="s">
        <v>441</v>
      </c>
      <c r="S7" s="36"/>
      <c r="T7" s="39">
        <f t="shared" si="0"/>
        <v>2017</v>
      </c>
      <c r="U7" s="40" t="str">
        <f t="shared" si="1"/>
        <v>How to manage of best practices for Controlled Terminology</v>
      </c>
      <c r="V7" s="40" t="str">
        <f t="shared" si="2"/>
        <v xml:space="preserve">Controlled Terminology（CT）の頻繁な更新と試験間不整合の問題を解決するため、組織横断でのCT管理プロセス、独自ID（組織コード）による一貫管理、およびメタデータ基盤を用いたベストプラクティスを提示した資料。
</v>
      </c>
      <c r="W7" s="40" t="str">
        <f t="shared" si="3"/>
        <v>・CT管理ポリシー策定
・組織標準（CRF/SDTM/ADaM）設計
・複数試験統合（ISS/ISE）
・Define.xml / Metadata設計
・CT変換ロジック設計</v>
      </c>
      <c r="X7" s="55"/>
      <c r="Y7" s="66" t="s">
        <v>581</v>
      </c>
      <c r="Z7" s="67" t="s">
        <v>580</v>
      </c>
    </row>
    <row r="8" spans="1:26" s="8" customFormat="1" ht="72" x14ac:dyDescent="0.4">
      <c r="A8" s="44">
        <v>23</v>
      </c>
      <c r="B8" s="44" t="s">
        <v>251</v>
      </c>
      <c r="C8" s="45" t="s">
        <v>250</v>
      </c>
      <c r="D8" s="51" t="str">
        <f t="shared" si="8"/>
        <v>SDTM Validation rules 1.0 VS FDA Validator Rule 1.0and1.1</v>
      </c>
      <c r="E8" s="51" t="str">
        <f t="shared" si="9"/>
        <v>CJUG関西会合_FDAValidatorRule_20170817</v>
      </c>
      <c r="F8" s="51" t="s">
        <v>394</v>
      </c>
      <c r="G8" s="51"/>
      <c r="H8" s="44" t="s">
        <v>26</v>
      </c>
      <c r="I8" s="44" t="s">
        <v>252</v>
      </c>
      <c r="J8" s="44" t="s">
        <v>370</v>
      </c>
      <c r="K8" s="51"/>
      <c r="L8" s="51" t="str">
        <f t="shared" si="10"/>
        <v xml:space="preserve">SDTM Validation Rules 1.0 と FDA Business / Validator Rules（v1.0, v1.1）を比較し、ルールの削除・追加・変更の傾向を分析することで、規制要件におけるValidationの本質を整理した資料。
</v>
      </c>
      <c r="M8" s="51" t="s">
        <v>422</v>
      </c>
      <c r="N8" s="44" t="s">
        <v>254</v>
      </c>
      <c r="O8" s="44" t="s">
        <v>255</v>
      </c>
      <c r="P8" s="50">
        <v>2017</v>
      </c>
      <c r="Q8" s="53" t="str">
        <f t="shared" si="11"/>
        <v>SDTM Validation rules 1.0 VS FDA Validator Rule 1.0and1.1：SDTMとFDAの各検証ルールの差異を分析し、規制要件におけるValidationの本質を整理</v>
      </c>
      <c r="R8" s="54" t="s">
        <v>441</v>
      </c>
      <c r="S8" s="36"/>
      <c r="T8" s="39">
        <f t="shared" si="0"/>
        <v>2017</v>
      </c>
      <c r="U8" s="40" t="str">
        <f t="shared" si="1"/>
        <v>SDTM Validation rules 1.0 VS FDA Validator Rule 1.0and1.1</v>
      </c>
      <c r="V8" s="40" t="str">
        <f t="shared" si="2"/>
        <v xml:space="preserve">SDTM Validation Rules 1.0 と FDA Business / Validator Rules（v1.0, v1.1）を比較し、ルールの削除・追加・変更の傾向を分析することで、規制要件におけるValidationの本質を整理した資料。
</v>
      </c>
      <c r="W8" s="40" t="str">
        <f t="shared" si="3"/>
        <v>・Pinnacle21結果の解釈
・Validation方針決定（Fix vs Explain）
・Reviewer’s Guide作成
・FDA/PMDA規制理解
・Submission準備</v>
      </c>
      <c r="X8" s="55"/>
      <c r="Y8" s="66" t="s">
        <v>581</v>
      </c>
      <c r="Z8" s="67" t="s">
        <v>582</v>
      </c>
    </row>
    <row r="9" spans="1:26" s="8" customFormat="1" ht="60" x14ac:dyDescent="0.4">
      <c r="A9" s="44">
        <v>24</v>
      </c>
      <c r="B9" s="44" t="s">
        <v>257</v>
      </c>
      <c r="C9" s="44" t="s">
        <v>256</v>
      </c>
      <c r="D9" s="51" t="str">
        <f t="shared" si="8"/>
        <v>RACEについて</v>
      </c>
      <c r="E9" s="51" t="str">
        <f t="shared" si="9"/>
        <v>race issue_201709_fix</v>
      </c>
      <c r="F9" s="51" t="s">
        <v>395</v>
      </c>
      <c r="G9" s="51"/>
      <c r="H9" s="44" t="s">
        <v>26</v>
      </c>
      <c r="I9" s="44" t="s">
        <v>258</v>
      </c>
      <c r="J9" s="44" t="s">
        <v>371</v>
      </c>
      <c r="K9" s="51"/>
      <c r="L9" s="51" t="str">
        <f t="shared" si="10"/>
        <v>RACEデータの定義、収集方法、Controlled Terminology制約（非拡張）、Pinnacle21 Validationとの整合、さらにRACEとRACECの役割分担について整理し、実務上の混乱とその対応方針を示した資料。</v>
      </c>
      <c r="M9" s="51" t="s">
        <v>423</v>
      </c>
      <c r="N9" s="44" t="s">
        <v>260</v>
      </c>
      <c r="O9" s="44" t="s">
        <v>261</v>
      </c>
      <c r="P9" s="50">
        <v>2017</v>
      </c>
      <c r="Q9" s="53" t="str">
        <f t="shared" si="11"/>
        <v>RACEについて：RACEデータの定義、収集方法、CT制約、Pinnacle21との整合性など実務上の対応方針を整理</v>
      </c>
      <c r="R9" s="54" t="s">
        <v>441</v>
      </c>
      <c r="S9" s="36"/>
      <c r="T9" s="39">
        <f t="shared" si="0"/>
        <v>2017</v>
      </c>
      <c r="U9" s="40" t="str">
        <f t="shared" si="1"/>
        <v>RACEについて</v>
      </c>
      <c r="V9" s="40" t="str">
        <f t="shared" si="2"/>
        <v>RACEデータの定義、収集方法、Controlled Terminology制約（非拡張）、Pinnacle21 Validationとの整合、さらにRACEとRACECの役割分担について整理し、実務上の混乱とその対応方針を示した資料。</v>
      </c>
      <c r="W9" s="40" t="str">
        <f t="shared" si="3"/>
        <v>・DMドメイン設計
・CRF設計（人種項目）
・RACE / RACECマッピング
・P21エラー対応
・Reviewer’s Guide記載</v>
      </c>
      <c r="X9" s="55"/>
      <c r="Y9" s="66" t="s">
        <v>579</v>
      </c>
      <c r="Z9" s="67" t="s">
        <v>582</v>
      </c>
    </row>
    <row r="10" spans="1:26" s="8" customFormat="1" ht="60" x14ac:dyDescent="0.4">
      <c r="A10" s="44">
        <v>25</v>
      </c>
      <c r="B10" s="44" t="s">
        <v>263</v>
      </c>
      <c r="C10" s="44" t="s">
        <v>262</v>
      </c>
      <c r="D10" s="51" t="str">
        <f t="shared" si="8"/>
        <v>SDTM QCの手引き</v>
      </c>
      <c r="E10" s="51" t="str">
        <f t="shared" si="9"/>
        <v>SDTM QCの手引き V1.0 プレゼンテーション</v>
      </c>
      <c r="F10" s="51" t="s">
        <v>396</v>
      </c>
      <c r="G10" s="51"/>
      <c r="H10" s="44" t="s">
        <v>26</v>
      </c>
      <c r="I10" s="44" t="s">
        <v>264</v>
      </c>
      <c r="J10" s="44" t="s">
        <v>372</v>
      </c>
      <c r="K10" s="51"/>
      <c r="L10" s="51" t="str">
        <f t="shared" si="10"/>
        <v xml:space="preserve">限られたリソースの中でSDTM品質を確保するため、QC対象の選定、実施タイミング、効率化手法（自動化・標準化）を整理し、合理的なQC戦略を提示した資料。
</v>
      </c>
      <c r="M10" s="51" t="s">
        <v>424</v>
      </c>
      <c r="N10" s="44" t="s">
        <v>266</v>
      </c>
      <c r="O10" s="44" t="s">
        <v>267</v>
      </c>
      <c r="P10" s="50">
        <v>2017</v>
      </c>
      <c r="Q10" s="53" t="str">
        <f t="shared" si="11"/>
        <v>SDTM QCの手引き：リソース制約下で品質を確保するための、効率的なSDTM QC戦略と手法を提示</v>
      </c>
      <c r="R10" s="54" t="s">
        <v>441</v>
      </c>
      <c r="S10" s="36"/>
      <c r="T10" s="39">
        <f t="shared" si="0"/>
        <v>2017</v>
      </c>
      <c r="U10" s="40" t="str">
        <f t="shared" si="1"/>
        <v>SDTM QCの手引き</v>
      </c>
      <c r="V10" s="40" t="str">
        <f t="shared" si="2"/>
        <v xml:space="preserve">限られたリソースの中でSDTM品質を確保するため、QC対象の選定、実施タイミング、効率化手法（自動化・標準化）を整理し、合理的なQC戦略を提示した資料。
</v>
      </c>
      <c r="W10" s="40" t="str">
        <f t="shared" si="3"/>
        <v>・QC戦略設計
・QCチェックリスト作成
・P21 + Manual QC設計
・SDTM品質保証
・作業効率化</v>
      </c>
      <c r="X10" s="55"/>
      <c r="Y10" s="66" t="s">
        <v>581</v>
      </c>
      <c r="Z10" s="67" t="s">
        <v>582</v>
      </c>
    </row>
    <row r="11" spans="1:26" s="8" customFormat="1" ht="72" x14ac:dyDescent="0.4">
      <c r="A11" s="44">
        <v>26</v>
      </c>
      <c r="B11" s="44" t="s">
        <v>271</v>
      </c>
      <c r="C11" s="44" t="s">
        <v>270</v>
      </c>
      <c r="D11" s="51" t="str">
        <f t="shared" si="8"/>
        <v>データレビューチーム報告</v>
      </c>
      <c r="E11" s="51" t="str">
        <f t="shared" si="9"/>
        <v>CJUG SDTM データレビューチーム報告</v>
      </c>
      <c r="F11" s="51" t="s">
        <v>397</v>
      </c>
      <c r="G11" s="51"/>
      <c r="H11" s="44" t="s">
        <v>26</v>
      </c>
      <c r="I11" s="44" t="s">
        <v>269</v>
      </c>
      <c r="J11" s="44" t="s">
        <v>373</v>
      </c>
      <c r="K11" s="51"/>
      <c r="L11" s="51" t="str">
        <f t="shared" si="10"/>
        <v xml:space="preserve">SDTMを入力データとして中央モニタリング（RBM）を実施し、可視化ツール（Power BI）を用いて安全性や試験進捗を分析することで、SDTMを日常業務に活用する方法を示した実践的な活動報告。
</v>
      </c>
      <c r="M11" s="51" t="s">
        <v>425</v>
      </c>
      <c r="N11" s="44" t="s">
        <v>272</v>
      </c>
      <c r="O11" s="44" t="s">
        <v>273</v>
      </c>
      <c r="P11" s="50">
        <v>2018</v>
      </c>
      <c r="Q11" s="53" t="str">
        <f t="shared" si="11"/>
        <v>CJUG SDTM データレビューチーム報告：SDTMデータに中央モニタリングや可視化ツール（Power BI）を活用し、安全性や試験進捗を分析する実践方法を報告</v>
      </c>
      <c r="R11" s="54" t="s">
        <v>442</v>
      </c>
      <c r="S11" s="36"/>
      <c r="T11" s="39">
        <f t="shared" si="0"/>
        <v>2018</v>
      </c>
      <c r="U11" s="40" t="str">
        <f t="shared" si="1"/>
        <v>CJUG SDTM データレビューチーム報告</v>
      </c>
      <c r="V11" s="40" t="str">
        <f t="shared" si="2"/>
        <v xml:space="preserve">SDTMを入力データとして中央モニタリング（RBM）を実施し、可視化ツール（Power BI）を用いて安全性や試験進捗を分析することで、SDTMを日常業務に活用する方法を示した実践的な活動報告。
</v>
      </c>
      <c r="W11" s="40" t="str">
        <f t="shared" si="3"/>
        <v>・中央モニタリング（RBM）
・データレビュー
・安全性評価
・試験進捗可視化
・BIダッシュボード構築</v>
      </c>
      <c r="X11" s="55"/>
      <c r="Y11" s="66" t="s">
        <v>583</v>
      </c>
      <c r="Z11" s="67" t="s">
        <v>584</v>
      </c>
    </row>
    <row r="12" spans="1:26" s="8" customFormat="1" ht="72" x14ac:dyDescent="0.4">
      <c r="A12" s="44">
        <v>28</v>
      </c>
      <c r="B12" s="44" t="s">
        <v>280</v>
      </c>
      <c r="C12" s="44" t="s">
        <v>279</v>
      </c>
      <c r="D12" s="51" t="str">
        <f t="shared" ref="D12:D25" si="12">RIGHT(B12,LEN(B12)-9)</f>
        <v>Trial Design Datasets 試験終了時の整備</v>
      </c>
      <c r="E12" s="51" t="str">
        <f t="shared" ref="E12:E25" si="13">LEFT(C12,LEN(C12)-4)</f>
        <v>TDM-PGM_Activity Report_2018</v>
      </c>
      <c r="F12" s="51" t="s">
        <v>398</v>
      </c>
      <c r="G12" s="51"/>
      <c r="H12" s="44" t="s">
        <v>26</v>
      </c>
      <c r="I12" s="44" t="s">
        <v>281</v>
      </c>
      <c r="J12" s="44" t="s">
        <v>374</v>
      </c>
      <c r="K12" s="51"/>
      <c r="L12" s="51" t="str">
        <f t="shared" ref="L12:L40" si="14">IF(K12="",J12,K12)</f>
        <v xml:space="preserve">試験進行後にTrial Design Dataset（TS/TI/TA）を修正した実践事例であり、プロトコルとの整合、EPOCH設計、Validation限界、用語管理（NDF-RT）といったTrial Designの運用課題と対策を整理した報告。
</v>
      </c>
      <c r="M12" s="51" t="s">
        <v>426</v>
      </c>
      <c r="N12" s="44" t="s">
        <v>283</v>
      </c>
      <c r="O12" s="44" t="s">
        <v>284</v>
      </c>
      <c r="P12" s="50">
        <v>2018</v>
      </c>
      <c r="Q12" s="53" t="str">
        <f t="shared" ref="Q12:Q40" si="15">F12&amp;"："&amp;M12</f>
        <v>Trial Design Datasets 試験終了時の整備：試験進行後のTrial Design修正事例を通じ、設計・運用課題と対策を整理</v>
      </c>
      <c r="R12" s="54" t="s">
        <v>442</v>
      </c>
      <c r="S12" s="36"/>
      <c r="T12" s="39">
        <f t="shared" si="0"/>
        <v>2018</v>
      </c>
      <c r="U12" s="40" t="str">
        <f t="shared" si="1"/>
        <v>Trial Design Datasets 試験終了時の整備</v>
      </c>
      <c r="V12" s="40" t="str">
        <f t="shared" si="2"/>
        <v xml:space="preserve">試験進行後にTrial Design Dataset（TS/TI/TA）を修正した実践事例であり、プロトコルとの整合、EPOCH設計、Validation限界、用語管理（NDF-RT）といったTrial Designの運用課題と対策を整理した報告。
</v>
      </c>
      <c r="W12" s="40" t="str">
        <f t="shared" si="3"/>
        <v>・Trial Design設計（TS/TI/TA）
・プロトコル連携
・EPOCH設計
・Validation補完
・SDTM品質向上</v>
      </c>
      <c r="X12" s="55"/>
      <c r="Y12" s="66" t="s">
        <v>581</v>
      </c>
      <c r="Z12" s="67" t="s">
        <v>582</v>
      </c>
    </row>
    <row r="13" spans="1:26" s="8" customFormat="1" ht="84" x14ac:dyDescent="0.4">
      <c r="A13" s="44" t="s">
        <v>356</v>
      </c>
      <c r="B13" s="44" t="s">
        <v>286</v>
      </c>
      <c r="C13" s="44" t="s">
        <v>285</v>
      </c>
      <c r="D13" s="51" t="str">
        <f t="shared" si="12"/>
        <v>CJUG SDTM Pinnacle 21 validation team活動報告</v>
      </c>
      <c r="E13" s="51" t="str">
        <f t="shared" si="13"/>
        <v>CJUG_SDTM_Validation_team_活動報告_20190412</v>
      </c>
      <c r="F13" s="51" t="s">
        <v>399</v>
      </c>
      <c r="G13" s="51" t="s">
        <v>409</v>
      </c>
      <c r="H13" s="44" t="s">
        <v>26</v>
      </c>
      <c r="I13" s="44" t="s">
        <v>287</v>
      </c>
      <c r="J13" s="44" t="s">
        <v>375</v>
      </c>
      <c r="K13" s="51" t="s">
        <v>414</v>
      </c>
      <c r="L13" s="51" t="str">
        <f t="shared" si="14"/>
        <v>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v>
      </c>
      <c r="M13" s="51" t="s">
        <v>427</v>
      </c>
      <c r="N13" s="44" t="s">
        <v>289</v>
      </c>
      <c r="O13" s="44" t="s">
        <v>288</v>
      </c>
      <c r="P13" s="50">
        <v>2019</v>
      </c>
      <c r="Q13" s="53" t="str">
        <f t="shared" si="15"/>
        <v>CJUG SDTM Pinnacle 21 validation team活動報告：模擬試験データに対して、Pinnacle21検証でのエラー分析・修正・SDRG用Issue Summary作成プロセスを整理</v>
      </c>
      <c r="R13" s="54" t="s">
        <v>442</v>
      </c>
      <c r="S13" s="36"/>
      <c r="T13" s="39">
        <f t="shared" si="0"/>
        <v>2019</v>
      </c>
      <c r="U13" s="40" t="str">
        <f t="shared" si="1"/>
        <v>CJUG SDTM Pinnacle 21 validation team活動報告</v>
      </c>
      <c r="V13" s="40" t="str">
        <f t="shared" si="2"/>
        <v>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v>
      </c>
      <c r="W13" s="40" t="str">
        <f t="shared" si="3"/>
        <v>・P21 Validation運用
・エラー対応戦略
・Issue Summary作成
・品質管理
・Submission準備</v>
      </c>
      <c r="X13" s="55"/>
      <c r="Y13" s="66" t="s">
        <v>581</v>
      </c>
      <c r="Z13" s="67" t="s">
        <v>582</v>
      </c>
    </row>
    <row r="14" spans="1:26" s="8" customFormat="1" ht="84" x14ac:dyDescent="0.4">
      <c r="A14" s="44" t="s">
        <v>357</v>
      </c>
      <c r="B14" s="44" t="s">
        <v>286</v>
      </c>
      <c r="C14" s="44" t="s">
        <v>294</v>
      </c>
      <c r="D14" s="51" t="str">
        <f t="shared" si="12"/>
        <v>CJUG SDTM Pinnacle 21 validation team活動報告</v>
      </c>
      <c r="E14" s="51" t="str">
        <f t="shared" si="13"/>
        <v>Coding_List_V1.2</v>
      </c>
      <c r="F14" s="51" t="s">
        <v>410</v>
      </c>
      <c r="G14" s="51" t="s">
        <v>409</v>
      </c>
      <c r="H14" s="44" t="s">
        <v>26</v>
      </c>
      <c r="I14" s="44" t="s">
        <v>18</v>
      </c>
      <c r="J14" s="44" t="s">
        <v>376</v>
      </c>
      <c r="K14" s="51" t="s">
        <v>414</v>
      </c>
      <c r="L14" s="51" t="str">
        <f t="shared" si="14"/>
        <v>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v>
      </c>
      <c r="M14" s="51" t="s">
        <v>427</v>
      </c>
      <c r="N14" s="44" t="s">
        <v>292</v>
      </c>
      <c r="O14" s="44" t="s">
        <v>291</v>
      </c>
      <c r="P14" s="50">
        <v>2019</v>
      </c>
      <c r="Q14" s="56" t="str">
        <f t="shared" si="15"/>
        <v>CJUG SDTM Pinnacle 21 validation team活動報告：模擬試験データに対して、Pinnacle21検証でのエラー分析・修正・SDRG用Issue Summary作成プロセスを整理</v>
      </c>
      <c r="R14" s="57" t="s">
        <v>442</v>
      </c>
      <c r="S14" s="36"/>
      <c r="T14" s="39">
        <f t="shared" si="0"/>
        <v>2019</v>
      </c>
      <c r="U14" s="40" t="str">
        <f t="shared" si="1"/>
        <v>CJUG SDTM Pinnacle 21 validation team活動報告</v>
      </c>
      <c r="V14" s="40" t="str">
        <f t="shared" si="2"/>
        <v>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v>
      </c>
      <c r="W14" s="40" t="str">
        <f t="shared" si="3"/>
        <v>・AE Coding
・CM Coding（ATC）
・MH Coding
・Validation対策
・安全性解析</v>
      </c>
      <c r="X14" s="55"/>
      <c r="Y14" s="66" t="s">
        <v>581</v>
      </c>
      <c r="Z14" s="67" t="s">
        <v>582</v>
      </c>
    </row>
    <row r="15" spans="1:26" s="8" customFormat="1" ht="84" x14ac:dyDescent="0.4">
      <c r="A15" s="44" t="s">
        <v>358</v>
      </c>
      <c r="B15" s="44" t="s">
        <v>286</v>
      </c>
      <c r="C15" s="44" t="s">
        <v>295</v>
      </c>
      <c r="D15" s="51" t="str">
        <f t="shared" si="12"/>
        <v>CJUG SDTM Pinnacle 21 validation team活動報告</v>
      </c>
      <c r="E15" s="51" t="str">
        <f t="shared" si="13"/>
        <v>SDRG Issue summary記載案_20190122</v>
      </c>
      <c r="F15" s="51" t="s">
        <v>399</v>
      </c>
      <c r="G15" s="51" t="s">
        <v>409</v>
      </c>
      <c r="H15" s="44" t="s">
        <v>26</v>
      </c>
      <c r="I15" s="44" t="s">
        <v>18</v>
      </c>
      <c r="J15" s="44" t="s">
        <v>377</v>
      </c>
      <c r="K15" s="51" t="s">
        <v>414</v>
      </c>
      <c r="L15" s="51" t="str">
        <f t="shared" si="14"/>
        <v>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v>
      </c>
      <c r="M15" s="51" t="s">
        <v>427</v>
      </c>
      <c r="N15" s="44" t="s">
        <v>299</v>
      </c>
      <c r="O15" s="44" t="s">
        <v>300</v>
      </c>
      <c r="P15" s="50">
        <v>2019</v>
      </c>
      <c r="Q15" s="56" t="str">
        <f t="shared" si="15"/>
        <v>CJUG SDTM Pinnacle 21 validation team活動報告：模擬試験データに対して、Pinnacle21検証でのエラー分析・修正・SDRG用Issue Summary作成プロセスを整理</v>
      </c>
      <c r="R15" s="57" t="s">
        <v>442</v>
      </c>
      <c r="S15" s="36"/>
      <c r="T15" s="39">
        <f t="shared" si="0"/>
        <v>2019</v>
      </c>
      <c r="U15" s="40" t="str">
        <f t="shared" si="1"/>
        <v>CJUG SDTM Pinnacle 21 validation team活動報告</v>
      </c>
      <c r="V15" s="40" t="str">
        <f t="shared" si="2"/>
        <v>模擬試験データに対して、Pinnacle21検証でのエラー分析・修正・SDRG用Issue Summary作成プロセスを整理した活動報告。MedDRAおよびATCを用いたSDTMコーディングの具体的な実装実例と、Pinnacle 21のバリデーションエラーに対するSDRGへの具体的な記載例も示す。</v>
      </c>
      <c r="W15" s="40" t="str">
        <f t="shared" si="3"/>
        <v>・SDRG作成
・Validation対応
・規制対応（PMDA / FDA）
・Submission準備</v>
      </c>
      <c r="X15" s="55"/>
      <c r="Y15" s="66" t="s">
        <v>579</v>
      </c>
      <c r="Z15" s="67" t="s">
        <v>585</v>
      </c>
    </row>
    <row r="16" spans="1:26" s="8" customFormat="1" ht="60" x14ac:dyDescent="0.4">
      <c r="A16" s="44">
        <v>30</v>
      </c>
      <c r="B16" s="44" t="s">
        <v>297</v>
      </c>
      <c r="C16" s="44" t="s">
        <v>298</v>
      </c>
      <c r="D16" s="51" t="str">
        <f t="shared" si="12"/>
        <v>CJUG SDTM define.xml team活動報告</v>
      </c>
      <c r="E16" s="51" t="str">
        <f t="shared" si="13"/>
        <v>CJUG_ SDTM_define.xml_team_活動報告_20190510</v>
      </c>
      <c r="F16" s="51" t="s">
        <v>400</v>
      </c>
      <c r="G16" s="51"/>
      <c r="H16" s="44" t="s">
        <v>26</v>
      </c>
      <c r="I16" s="44" t="s">
        <v>301</v>
      </c>
      <c r="J16" s="44" t="s">
        <v>378</v>
      </c>
      <c r="K16" s="51"/>
      <c r="L16" s="51" t="str">
        <f t="shared" si="14"/>
        <v>define.xml作成における実務課題（単体バリデーション、データセットとの不整合、コードリスト・単位の扱いなど）を整理し、SDTM提出時のメタデータ整合性の重要性を示した活動報告。</v>
      </c>
      <c r="M16" s="51" t="s">
        <v>428</v>
      </c>
      <c r="N16" s="44" t="s">
        <v>303</v>
      </c>
      <c r="O16" s="44" t="s">
        <v>304</v>
      </c>
      <c r="P16" s="50">
        <v>2019</v>
      </c>
      <c r="Q16" s="53" t="str">
        <f t="shared" si="15"/>
        <v>CJUG SDTM define.xml team活動報告：define.xml作成時のメタデータ整合性やバリデーション等の実務課題を整理</v>
      </c>
      <c r="R16" s="54" t="s">
        <v>442</v>
      </c>
      <c r="S16" s="36"/>
      <c r="T16" s="39">
        <f t="shared" si="0"/>
        <v>2019</v>
      </c>
      <c r="U16" s="40" t="str">
        <f t="shared" si="1"/>
        <v>CJUG SDTM define.xml team活動報告</v>
      </c>
      <c r="V16" s="40" t="str">
        <f t="shared" si="2"/>
        <v>define.xml作成における実務課題（単体バリデーション、データセットとの不整合、コードリスト・単位の扱いなど）を整理し、SDTM提出時のメタデータ整合性の重要性を示した活動報告。</v>
      </c>
      <c r="W16" s="40" t="str">
        <f t="shared" si="3"/>
        <v>・define.xml作成
・Metadata設計
・Submission対応
・Validation補完
・QC</v>
      </c>
      <c r="X16" s="55"/>
      <c r="Y16" s="66" t="s">
        <v>581</v>
      </c>
      <c r="Z16" s="67" t="s">
        <v>580</v>
      </c>
    </row>
    <row r="17" spans="1:26" s="8" customFormat="1" ht="60" x14ac:dyDescent="0.4">
      <c r="A17" s="44" t="s">
        <v>359</v>
      </c>
      <c r="B17" s="44" t="s">
        <v>305</v>
      </c>
      <c r="C17" s="44" t="s">
        <v>310</v>
      </c>
      <c r="D17" s="51" t="str">
        <f t="shared" si="12"/>
        <v>Activity Report on Sub Team (Study Data Reviewer’s Guide)</v>
      </c>
      <c r="E17" s="51" t="str">
        <f t="shared" si="13"/>
        <v>Activity Report on Study Data Reviewer’s Guide_Fix</v>
      </c>
      <c r="F17" s="51" t="s">
        <v>401</v>
      </c>
      <c r="G17" s="51" t="s">
        <v>409</v>
      </c>
      <c r="H17" s="44" t="s">
        <v>26</v>
      </c>
      <c r="I17" s="44" t="s">
        <v>309</v>
      </c>
      <c r="J17" s="44" t="s">
        <v>379</v>
      </c>
      <c r="K17" s="51" t="s">
        <v>379</v>
      </c>
      <c r="L17" s="51" t="str">
        <f t="shared" si="14"/>
        <v xml:space="preserve">模擬試験（PV0363）のSDRG（Study Data Reviewer’s Guide）を作成し、その構成・記載方針・実務上の検討ポイントを整理した活動報告。
</v>
      </c>
      <c r="M17" s="51" t="s">
        <v>429</v>
      </c>
      <c r="N17" s="44" t="s">
        <v>307</v>
      </c>
      <c r="O17" s="44" t="s">
        <v>306</v>
      </c>
      <c r="P17" s="50">
        <v>2019</v>
      </c>
      <c r="Q17" s="53" t="str">
        <f t="shared" si="15"/>
        <v>Activity Report on Sub Team (Study Data Reviewer’s Guide)：模擬試験に基づくSDRGの構成・記載方針・実務上の検討ポイントを整理</v>
      </c>
      <c r="R17" s="54" t="s">
        <v>442</v>
      </c>
      <c r="S17" s="36"/>
      <c r="T17" s="39">
        <f t="shared" si="0"/>
        <v>2019</v>
      </c>
      <c r="U17" s="40" t="str">
        <f t="shared" si="1"/>
        <v>Activity Report on Sub Team (Study Data Reviewer’s Guide)</v>
      </c>
      <c r="V17" s="40" t="str">
        <f t="shared" si="2"/>
        <v xml:space="preserve">模擬試験（PV0363）のSDRG（Study Data Reviewer’s Guide）を作成し、その構成・記載方針・実務上の検討ポイントを整理した活動報告。
</v>
      </c>
      <c r="W17" s="40" t="str">
        <f t="shared" si="3"/>
        <v>・SDRG作成
・Submission説明
・Reviewer対応
・データ利用ガイド</v>
      </c>
      <c r="X17" s="55"/>
      <c r="Y17" s="66" t="s">
        <v>579</v>
      </c>
      <c r="Z17" s="67" t="s">
        <v>585</v>
      </c>
    </row>
    <row r="18" spans="1:26" s="8" customFormat="1" ht="60" x14ac:dyDescent="0.4">
      <c r="A18" s="44" t="s">
        <v>360</v>
      </c>
      <c r="B18" s="44" t="s">
        <v>105</v>
      </c>
      <c r="C18" s="44" t="s">
        <v>311</v>
      </c>
      <c r="D18" s="51" t="str">
        <f t="shared" si="12"/>
        <v>Activity Report on Sub Team (Study Data Reviewer’s Guide)</v>
      </c>
      <c r="E18" s="51" t="str">
        <f t="shared" si="13"/>
        <v>study-data-reviewers-guide</v>
      </c>
      <c r="F18" s="51" t="s">
        <v>401</v>
      </c>
      <c r="G18" s="51" t="s">
        <v>409</v>
      </c>
      <c r="H18" s="44" t="s">
        <v>26</v>
      </c>
      <c r="I18" s="44" t="s">
        <v>312</v>
      </c>
      <c r="J18" s="44" t="s">
        <v>313</v>
      </c>
      <c r="K18" s="51" t="s">
        <v>379</v>
      </c>
      <c r="L18" s="51" t="str">
        <f t="shared" si="14"/>
        <v xml:space="preserve">模擬試験（PV0363）のSDRG（Study Data Reviewer’s Guide）を作成し、その構成・記載方針・実務上の検討ポイントを整理した活動報告。
</v>
      </c>
      <c r="M18" s="51" t="s">
        <v>429</v>
      </c>
      <c r="N18" s="44" t="s">
        <v>317</v>
      </c>
      <c r="O18" s="44" t="s">
        <v>306</v>
      </c>
      <c r="P18" s="50">
        <v>2019</v>
      </c>
      <c r="Q18" s="56" t="str">
        <f t="shared" si="15"/>
        <v>Activity Report on Sub Team (Study Data Reviewer’s Guide)：模擬試験に基づくSDRGの構成・記載方針・実務上の検討ポイントを整理</v>
      </c>
      <c r="R18" s="57" t="s">
        <v>442</v>
      </c>
      <c r="S18" s="36"/>
      <c r="T18" s="39">
        <f t="shared" si="0"/>
        <v>2019</v>
      </c>
      <c r="U18" s="40" t="str">
        <f t="shared" si="1"/>
        <v>Activity Report on Sub Team (Study Data Reviewer’s Guide)</v>
      </c>
      <c r="V18" s="40" t="str">
        <f t="shared" si="2"/>
        <v xml:space="preserve">模擬試験（PV0363）のSDRG（Study Data Reviewer’s Guide）を作成し、その構成・記載方針・実務上の検討ポイントを整理した活動報告。
</v>
      </c>
      <c r="W18" s="40" t="str">
        <f t="shared" si="3"/>
        <v>・SDTM Submission
・規制当局レビュー対応
・データ理解補助
・Validation補足</v>
      </c>
      <c r="X18" s="55"/>
      <c r="Y18" s="66" t="s">
        <v>579</v>
      </c>
      <c r="Z18" s="67" t="s">
        <v>585</v>
      </c>
    </row>
    <row r="19" spans="1:26" s="8" customFormat="1" ht="48" x14ac:dyDescent="0.4">
      <c r="A19" s="44">
        <v>32</v>
      </c>
      <c r="B19" s="44" t="s">
        <v>315</v>
      </c>
      <c r="C19" s="44" t="s">
        <v>314</v>
      </c>
      <c r="D19" s="51" t="str">
        <f t="shared" si="12"/>
        <v>アヒルさんチーム模擬試験</v>
      </c>
      <c r="E19" s="51" t="str">
        <f t="shared" si="13"/>
        <v>PV0363_まとめ_20190531</v>
      </c>
      <c r="F19" s="51" t="s">
        <v>402</v>
      </c>
      <c r="G19" s="51"/>
      <c r="H19" s="44" t="s">
        <v>26</v>
      </c>
      <c r="I19" s="44" t="s">
        <v>316</v>
      </c>
      <c r="J19" s="44" t="s">
        <v>380</v>
      </c>
      <c r="K19" s="51"/>
      <c r="L19" s="51" t="str">
        <f t="shared" si="14"/>
        <v>模擬試験PV0363におけるSDTM作成活動を総括し、データ作成から提出資料（SDRG、define.xml等）までの全工程で発生した課題と改善点を整理した資料。</v>
      </c>
      <c r="M19" s="51" t="s">
        <v>430</v>
      </c>
      <c r="N19" s="44" t="s">
        <v>18</v>
      </c>
      <c r="O19" s="44" t="s">
        <v>18</v>
      </c>
      <c r="P19" s="50">
        <v>2019</v>
      </c>
      <c r="Q19" s="53" t="str">
        <f t="shared" si="15"/>
        <v>アヒルさんチーム模擬試験：模擬試験を通じたSDTM作成からSDRG・define.xml等、全工程の課題を整理</v>
      </c>
      <c r="R19" s="54" t="s">
        <v>442</v>
      </c>
      <c r="S19" s="36"/>
      <c r="T19" s="39">
        <f t="shared" si="0"/>
        <v>2019</v>
      </c>
      <c r="U19" s="40" t="str">
        <f t="shared" si="1"/>
        <v>アヒルさんチーム模擬試験</v>
      </c>
      <c r="V19" s="40" t="str">
        <f t="shared" si="2"/>
        <v>模擬試験PV0363におけるSDTM作成活動を総括し、データ作成から提出資料（SDRG、define.xml等）までの全工程で発生した課題と改善点を整理した資料。</v>
      </c>
      <c r="W19" s="40" t="str">
        <f t="shared" si="3"/>
        <v>－</v>
      </c>
      <c r="X19" s="55"/>
      <c r="Y19" s="66" t="s">
        <v>576</v>
      </c>
      <c r="Z19" s="67" t="s">
        <v>577</v>
      </c>
    </row>
    <row r="20" spans="1:26" s="8" customFormat="1" ht="60" x14ac:dyDescent="0.4">
      <c r="A20" s="44">
        <v>33</v>
      </c>
      <c r="B20" s="44" t="s">
        <v>318</v>
      </c>
      <c r="C20" s="44" t="s">
        <v>319</v>
      </c>
      <c r="D20" s="51" t="str">
        <f t="shared" si="12"/>
        <v>承認申請を目的とした中間解析時のSDTMデータセットに関する検討</v>
      </c>
      <c r="E20" s="51" t="str">
        <f t="shared" si="13"/>
        <v>承認申請を目的とした中間解析時のSDTMデータセットに関する検討</v>
      </c>
      <c r="F20" s="51" t="s">
        <v>403</v>
      </c>
      <c r="G20" s="51"/>
      <c r="H20" s="44" t="s">
        <v>26</v>
      </c>
      <c r="I20" s="44" t="s">
        <v>320</v>
      </c>
      <c r="J20" s="44" t="s">
        <v>381</v>
      </c>
      <c r="K20" s="51"/>
      <c r="L20" s="51" t="str">
        <f t="shared" si="14"/>
        <v>試験継続中のデータ（中間解析）を用いて承認申請する際のSDTMデータセット作成方針・課題・対応方法を整理した資料。未確定データやカットオフ処理に起因する問題への対応が主題。</v>
      </c>
      <c r="M20" s="51" t="s">
        <v>431</v>
      </c>
      <c r="N20" s="44" t="s">
        <v>323</v>
      </c>
      <c r="O20" s="44" t="s">
        <v>324</v>
      </c>
      <c r="P20" s="50">
        <v>2019</v>
      </c>
      <c r="Q20" s="53" t="str">
        <f t="shared" si="15"/>
        <v>承認申請を目的とした中間解析時のSDTMデータセットに関する検討：中間解析データでの申請における、未確定データやカットオフ処理等の作成方針を整理</v>
      </c>
      <c r="R20" s="54" t="s">
        <v>442</v>
      </c>
      <c r="S20" s="36"/>
      <c r="T20" s="39">
        <f t="shared" si="0"/>
        <v>2019</v>
      </c>
      <c r="U20" s="40" t="str">
        <f t="shared" si="1"/>
        <v>承認申請を目的とした中間解析時のSDTMデータセットに関する検討</v>
      </c>
      <c r="V20" s="40" t="str">
        <f t="shared" si="2"/>
        <v>試験継続中のデータ（中間解析）を用いて承認申請する際のSDTMデータセット作成方針・課題・対応方法を整理した資料。未確定データやカットオフ処理に起因する問題への対応が主題。</v>
      </c>
      <c r="W20" s="40" t="str">
        <f t="shared" si="3"/>
        <v>・中間解析SDTM設計
・規制対応（PMDA）
・Validation対策
・SDRG記載</v>
      </c>
      <c r="X20" s="55"/>
      <c r="Y20" s="66" t="s">
        <v>579</v>
      </c>
      <c r="Z20" s="67" t="s">
        <v>585</v>
      </c>
    </row>
    <row r="21" spans="1:26" s="8" customFormat="1" ht="48" x14ac:dyDescent="0.4">
      <c r="A21" s="44">
        <v>34</v>
      </c>
      <c r="B21" s="44" t="s">
        <v>327</v>
      </c>
      <c r="C21" s="44" t="s">
        <v>325</v>
      </c>
      <c r="D21" s="51" t="str">
        <f t="shared" si="12"/>
        <v>レガシーデータコンバージョンチーム活動報告</v>
      </c>
      <c r="E21" s="51" t="str">
        <f t="shared" si="13"/>
        <v>LDCチーム活動報告</v>
      </c>
      <c r="F21" s="51" t="s">
        <v>404</v>
      </c>
      <c r="G21" s="51"/>
      <c r="H21" s="44" t="s">
        <v>26</v>
      </c>
      <c r="I21" s="44" t="s">
        <v>326</v>
      </c>
      <c r="J21" s="44" t="s">
        <v>543</v>
      </c>
      <c r="K21" s="51"/>
      <c r="L21" s="51" t="str">
        <f t="shared" si="14"/>
        <v>Legacy Data Conversion（旧試験データのSDTM変換）における課題・対応方針・TIPSを整理した活動報告。</v>
      </c>
      <c r="M21" s="51" t="s">
        <v>432</v>
      </c>
      <c r="N21" s="44" t="s">
        <v>329</v>
      </c>
      <c r="O21" s="44" t="s">
        <v>328</v>
      </c>
      <c r="P21" s="50">
        <v>2020</v>
      </c>
      <c r="Q21" s="53" t="str">
        <f t="shared" si="15"/>
        <v>レガシーデータコンバージョンチーム活動報告：Legacy Data Conversionにおける実務課題（データ入手、辞書不明、単位不一致など）と対応策を整理</v>
      </c>
      <c r="R21" s="54" t="s">
        <v>443</v>
      </c>
      <c r="S21" s="36"/>
      <c r="T21" s="39">
        <f t="shared" si="0"/>
        <v>2020</v>
      </c>
      <c r="U21" s="40" t="str">
        <f t="shared" si="1"/>
        <v>レガシーデータコンバージョンチーム活動報告</v>
      </c>
      <c r="V21" s="40" t="str">
        <f t="shared" si="2"/>
        <v>Legacy Data Conversion（旧試験データのSDTM変換）における課題・対応方針・TIPSを整理した活動報告。</v>
      </c>
      <c r="W21" s="40" t="str">
        <f t="shared" si="3"/>
        <v>・Legacy Data Conversion
・SDTM移行
・PMDA提出準備
・トラブル対応</v>
      </c>
      <c r="X21" s="55"/>
      <c r="Y21" s="66" t="s">
        <v>581</v>
      </c>
      <c r="Z21" s="67" t="s">
        <v>585</v>
      </c>
    </row>
    <row r="22" spans="1:26" s="8" customFormat="1" ht="48" x14ac:dyDescent="0.4">
      <c r="A22" s="44">
        <v>35</v>
      </c>
      <c r="B22" s="44" t="s">
        <v>330</v>
      </c>
      <c r="C22" s="44" t="s">
        <v>331</v>
      </c>
      <c r="D22" s="51" t="str">
        <f t="shared" si="12"/>
        <v>Introduction of PMDA eSubmission Form A and Form B</v>
      </c>
      <c r="E22" s="51" t="str">
        <f t="shared" si="13"/>
        <v>Introduction_of_PMDA_eSubmission_Form-A_and_B_v20200713</v>
      </c>
      <c r="F22" s="51" t="s">
        <v>405</v>
      </c>
      <c r="G22" s="51"/>
      <c r="H22" s="44" t="s">
        <v>26</v>
      </c>
      <c r="I22" s="44" t="s">
        <v>332</v>
      </c>
      <c r="J22" s="44" t="s">
        <v>384</v>
      </c>
      <c r="K22" s="51"/>
      <c r="L22" s="51" t="str">
        <f t="shared" si="14"/>
        <v>PMDAに電子データ（SDTM/ADaM）を提出する際に必要となるForm AおよびForm Bの役割・記載内容・提出プロセスを解説した資料。</v>
      </c>
      <c r="M22" s="51" t="s">
        <v>433</v>
      </c>
      <c r="N22" s="44" t="s">
        <v>333</v>
      </c>
      <c r="O22" s="44" t="s">
        <v>334</v>
      </c>
      <c r="P22" s="50">
        <v>2020</v>
      </c>
      <c r="Q22" s="53" t="str">
        <f t="shared" si="15"/>
        <v>Introduction of PMDA eSubmission Form A and Form B：PMDAへの電子データ提出に必要なForm A/Bの役割・記載内容・プロセスを解説</v>
      </c>
      <c r="R22" s="54" t="s">
        <v>443</v>
      </c>
      <c r="S22" s="36"/>
      <c r="T22" s="39">
        <f t="shared" si="0"/>
        <v>2020</v>
      </c>
      <c r="U22" s="40" t="str">
        <f t="shared" si="1"/>
        <v>Introduction of PMDA eSubmission Form A and Form B</v>
      </c>
      <c r="V22" s="40" t="str">
        <f t="shared" si="2"/>
        <v>PMDAに電子データ（SDTM/ADaM）を提出する際に必要となるForm AおよびForm Bの役割・記載内容・提出プロセスを解説した資料。</v>
      </c>
      <c r="W22" s="40" t="str">
        <f t="shared" si="3"/>
        <v>・PMDA電子申請
・Submission準備
・規制相談
・SDTM説明</v>
      </c>
      <c r="X22" s="55"/>
      <c r="Y22" s="66" t="s">
        <v>579</v>
      </c>
      <c r="Z22" s="67" t="s">
        <v>585</v>
      </c>
    </row>
    <row r="23" spans="1:26" s="8" customFormat="1" ht="48" x14ac:dyDescent="0.4">
      <c r="A23" s="44">
        <v>36</v>
      </c>
      <c r="B23" s="44" t="s">
        <v>340</v>
      </c>
      <c r="C23" s="44" t="s">
        <v>339</v>
      </c>
      <c r="D23" s="51" t="str">
        <f t="shared" si="12"/>
        <v>SDTM Issueの事例収集_最終報告</v>
      </c>
      <c r="E23" s="51" t="str">
        <f t="shared" si="13"/>
        <v>規制チーム活動報告_SDTM Issueの事例収集_最終報告_20200911</v>
      </c>
      <c r="F23" s="51" t="s">
        <v>406</v>
      </c>
      <c r="G23" s="51"/>
      <c r="H23" s="44" t="s">
        <v>26</v>
      </c>
      <c r="I23" s="44" t="s">
        <v>338</v>
      </c>
      <c r="J23" s="44" t="s">
        <v>385</v>
      </c>
      <c r="K23" s="51"/>
      <c r="L23" s="51" t="str">
        <f t="shared" si="14"/>
        <v>Pinnacle21では検出できないSDTMの不備（特にMappingミスや業務上の不整合）を事例として収集し、原因と対策を整理した資料。</v>
      </c>
      <c r="M23" s="51" t="s">
        <v>434</v>
      </c>
      <c r="N23" s="44" t="s">
        <v>337</v>
      </c>
      <c r="O23" s="44" t="s">
        <v>336</v>
      </c>
      <c r="P23" s="50">
        <v>2020</v>
      </c>
      <c r="Q23" s="53" t="str">
        <f t="shared" si="15"/>
        <v>SDTM Issueの事例収集_最終報告：Pinnacle21で検出不能なマッピングミス等の不備事例を収集し、原因と対策を整理</v>
      </c>
      <c r="R23" s="54" t="s">
        <v>443</v>
      </c>
      <c r="S23" s="36"/>
      <c r="T23" s="39">
        <f t="shared" si="0"/>
        <v>2020</v>
      </c>
      <c r="U23" s="40" t="str">
        <f t="shared" si="1"/>
        <v>SDTM Issueの事例収集_最終報告</v>
      </c>
      <c r="V23" s="40" t="str">
        <f t="shared" si="2"/>
        <v>Pinnacle21では検出できないSDTMの不備（特にMappingミスや業務上の不整合）を事例として収集し、原因と対策を整理した資料。</v>
      </c>
      <c r="W23" s="40" t="str">
        <f t="shared" si="3"/>
        <v>・QC強化
・Validation補完
・Mapping教育
・プロセス改善</v>
      </c>
      <c r="X23" s="55"/>
      <c r="Y23" s="66" t="s">
        <v>581</v>
      </c>
      <c r="Z23" s="67" t="s">
        <v>582</v>
      </c>
    </row>
    <row r="24" spans="1:26" s="8" customFormat="1" ht="48" x14ac:dyDescent="0.4">
      <c r="A24" s="44" t="s">
        <v>361</v>
      </c>
      <c r="B24" s="44" t="s">
        <v>349</v>
      </c>
      <c r="C24" s="44" t="s">
        <v>348</v>
      </c>
      <c r="D24" s="51" t="str">
        <f t="shared" si="12"/>
        <v>知らない人が作成したデータセットの取り扱い</v>
      </c>
      <c r="E24" s="51" t="str">
        <f t="shared" si="13"/>
        <v>知らない人が作成したデータセットの取り扱い</v>
      </c>
      <c r="F24" s="51" t="s">
        <v>407</v>
      </c>
      <c r="G24" s="51" t="s">
        <v>409</v>
      </c>
      <c r="H24" s="44" t="s">
        <v>26</v>
      </c>
      <c r="I24" s="44" t="s">
        <v>347</v>
      </c>
      <c r="J24" s="44" t="s">
        <v>383</v>
      </c>
      <c r="K24" s="51" t="s">
        <v>383</v>
      </c>
      <c r="L24" s="51" t="str">
        <f t="shared" si="14"/>
        <v>外部または過去に作成された（理解不能な）データセットを受領した際に、当局提出可能な状態にするための判断・調査・対応方法を体系化した実務ガイド。</v>
      </c>
      <c r="M24" s="51" t="s">
        <v>435</v>
      </c>
      <c r="N24" s="44" t="s">
        <v>342</v>
      </c>
      <c r="O24" s="44" t="s">
        <v>341</v>
      </c>
      <c r="P24" s="50">
        <v>2020</v>
      </c>
      <c r="Q24" s="53" t="str">
        <f t="shared" si="15"/>
        <v>知らない人が作成したデータセットの取り扱い：外部・過去作成のデータセットを調査し、当局提出可能な状態にする判断・対応法を体系化</v>
      </c>
      <c r="R24" s="54" t="s">
        <v>443</v>
      </c>
      <c r="S24" s="36"/>
      <c r="T24" s="39">
        <f t="shared" si="0"/>
        <v>2020</v>
      </c>
      <c r="U24" s="40" t="str">
        <f t="shared" si="1"/>
        <v>知らない人が作成したデータセットの取り扱い</v>
      </c>
      <c r="V24" s="40" t="str">
        <f t="shared" si="2"/>
        <v>外部または過去に作成された（理解不能な）データセットを受領した際に、当局提出可能な状態にするための判断・調査・対応方法を体系化した実務ガイド。</v>
      </c>
      <c r="W24" s="40" t="str">
        <f t="shared" si="3"/>
        <v>・LDC対応
・外部データ受入
・SDTM化判断
・見積・委託</v>
      </c>
      <c r="X24" s="55"/>
      <c r="Y24" s="66" t="s">
        <v>581</v>
      </c>
      <c r="Z24" s="67" t="s">
        <v>585</v>
      </c>
    </row>
    <row r="25" spans="1:26" s="8" customFormat="1" ht="48" x14ac:dyDescent="0.4">
      <c r="A25" s="44" t="s">
        <v>362</v>
      </c>
      <c r="B25" s="44" t="s">
        <v>118</v>
      </c>
      <c r="C25" s="44" t="s">
        <v>350</v>
      </c>
      <c r="D25" s="51" t="str">
        <f t="shared" si="12"/>
        <v>知らない人が作成したデータセットの取り扱い</v>
      </c>
      <c r="E25" s="51" t="str">
        <f t="shared" si="13"/>
        <v>4.4参考資料</v>
      </c>
      <c r="F25" s="51" t="s">
        <v>407</v>
      </c>
      <c r="G25" s="51" t="s">
        <v>409</v>
      </c>
      <c r="H25" s="44" t="s">
        <v>26</v>
      </c>
      <c r="I25" s="44" t="s">
        <v>18</v>
      </c>
      <c r="J25" s="44" t="s">
        <v>382</v>
      </c>
      <c r="K25" s="51" t="s">
        <v>383</v>
      </c>
      <c r="L25" s="51" t="str">
        <f t="shared" si="14"/>
        <v>外部または過去に作成された（理解不能な）データセットを受領した際に、当局提出可能な状態にするための判断・調査・対応方法を体系化した実務ガイド。</v>
      </c>
      <c r="M25" s="51" t="s">
        <v>435</v>
      </c>
      <c r="N25" s="44" t="s">
        <v>351</v>
      </c>
      <c r="O25" s="44" t="s">
        <v>352</v>
      </c>
      <c r="P25" s="50">
        <v>2020</v>
      </c>
      <c r="Q25" s="56" t="str">
        <f t="shared" si="15"/>
        <v>知らない人が作成したデータセットの取り扱い：外部・過去作成のデータセットを調査し、当局提出可能な状態にする判断・対応法を体系化</v>
      </c>
      <c r="R25" s="57" t="s">
        <v>443</v>
      </c>
      <c r="S25" s="36"/>
      <c r="T25" s="39">
        <f t="shared" si="0"/>
        <v>2020</v>
      </c>
      <c r="U25" s="40" t="str">
        <f t="shared" si="1"/>
        <v>知らない人が作成したデータセットの取り扱い</v>
      </c>
      <c r="V25" s="40" t="str">
        <f t="shared" si="2"/>
        <v>外部または過去に作成された（理解不能な）データセットを受領した際に、当局提出可能な状態にするための判断・調査・対応方法を体系化した実務ガイド。</v>
      </c>
      <c r="W25" s="40" t="str">
        <f t="shared" si="3"/>
        <v>知らないデータを“扱える状態”にするためのチェック表</v>
      </c>
      <c r="X25" s="55"/>
      <c r="Y25" s="66" t="s">
        <v>583</v>
      </c>
      <c r="Z25" s="67" t="s">
        <v>585</v>
      </c>
    </row>
    <row r="26" spans="1:26" ht="108" x14ac:dyDescent="0.4">
      <c r="A26" s="46">
        <v>38</v>
      </c>
      <c r="B26" s="46" t="s">
        <v>492</v>
      </c>
      <c r="C26" s="47" t="s">
        <v>494</v>
      </c>
      <c r="D26" s="51" t="str">
        <f t="shared" ref="D26:D40" si="16">RIGHT(B26,LEN(B26)-9)</f>
        <v>Form A Bの作成を含む申請準備業務の外部委託</v>
      </c>
      <c r="E26" s="51" t="str">
        <f t="shared" ref="E26:E38" si="17">LEFT(C26,LEN(C26)-4)</f>
        <v>別紙8_20201113</v>
      </c>
      <c r="F26" s="51" t="s">
        <v>493</v>
      </c>
      <c r="G26" s="51"/>
      <c r="H26" s="46" t="s">
        <v>448</v>
      </c>
      <c r="I26" s="44" t="s">
        <v>17</v>
      </c>
      <c r="J26" s="44" t="s">
        <v>511</v>
      </c>
      <c r="K26" s="52"/>
      <c r="L26" s="51" t="str">
        <f t="shared" si="14"/>
        <v>Form A/B（別紙8）作成および申請準備業務の外部委託の実態・課題・ベストプラクティスをアンケート結果から整理した資料。</v>
      </c>
      <c r="M26" s="51" t="s">
        <v>515</v>
      </c>
      <c r="N26" s="44" t="s">
        <v>520</v>
      </c>
      <c r="O26" s="46" t="s">
        <v>451</v>
      </c>
      <c r="P26" s="47">
        <v>2020</v>
      </c>
      <c r="Q26" s="53" t="str">
        <f t="shared" si="15"/>
        <v>Form A Bの作成を含む申請準備業務の外部委託：Form A/B作成および申請準備業務の外部委託実態・課題分析</v>
      </c>
      <c r="R26" s="54" t="s">
        <v>443</v>
      </c>
      <c r="S26" s="36"/>
      <c r="T26" s="39">
        <f t="shared" ref="T26:T40" si="18">P26</f>
        <v>2020</v>
      </c>
      <c r="U26" s="40" t="str">
        <f t="shared" ref="U26:U30" si="19">F26</f>
        <v>Form A Bの作成を含む申請準備業務の外部委託</v>
      </c>
      <c r="V26" s="40" t="str">
        <f t="shared" ref="V26:V30" si="20">L26</f>
        <v>Form A/B（別紙8）作成および申請準備業務の外部委託の実態・課題・ベストプラクティスをアンケート結果から整理した資料。</v>
      </c>
      <c r="W26" s="40" t="str">
        <f t="shared" ref="W26:W30" si="21">N26</f>
        <v>・Form A/B作成方針の検討
・外部委託の実施判断
・委託範囲・品質・スケジュール要件整理
・CROとの役割分担設計
・申請準備プロセスの最適化検討</v>
      </c>
      <c r="X26" s="55"/>
      <c r="Y26" s="66" t="s">
        <v>579</v>
      </c>
      <c r="Z26" s="67" t="s">
        <v>585</v>
      </c>
    </row>
    <row r="27" spans="1:26" ht="64.5" customHeight="1" x14ac:dyDescent="0.4">
      <c r="A27" s="46">
        <v>39</v>
      </c>
      <c r="B27" s="46" t="s">
        <v>501</v>
      </c>
      <c r="C27" s="47" t="s">
        <v>498</v>
      </c>
      <c r="D27" s="51" t="str">
        <f t="shared" si="16"/>
        <v>CDISC標準初心者のための業務プロセス基礎資料</v>
      </c>
      <c r="E27" s="51" t="str">
        <f t="shared" si="17"/>
        <v>CDISC標準初心者のための業務プロセス基礎資料_ver 1.0</v>
      </c>
      <c r="F27" s="51" t="s">
        <v>495</v>
      </c>
      <c r="G27" s="51"/>
      <c r="H27" s="46" t="s">
        <v>448</v>
      </c>
      <c r="I27" s="44" t="s">
        <v>505</v>
      </c>
      <c r="J27" s="44" t="s">
        <v>509</v>
      </c>
      <c r="K27" s="52"/>
      <c r="L27" s="51" t="str">
        <f t="shared" si="14"/>
        <v>CDISC標準（SDTM・ADaM）の業務全体フローと成果物・依存関係を体系化した入門資料。
特に「Raw → SDTM → ADaM → Submission」の実装プロセスと入出力関係を明確化している。</v>
      </c>
      <c r="M27" s="51" t="s">
        <v>516</v>
      </c>
      <c r="N27" s="44" t="s">
        <v>521</v>
      </c>
      <c r="O27" s="46" t="s">
        <v>457</v>
      </c>
      <c r="P27" s="47">
        <v>2024</v>
      </c>
      <c r="Q27" s="53" t="str">
        <f t="shared" si="15"/>
        <v>CDISC標準初心者のための業務プロセス基礎資料：CDISC標準（SDTM・ADaM）業務における成果物と依存関係の体系整理</v>
      </c>
      <c r="R27" s="54" t="s">
        <v>443</v>
      </c>
      <c r="S27" s="36"/>
      <c r="T27" s="39">
        <f t="shared" si="18"/>
        <v>2024</v>
      </c>
      <c r="U27" s="40" t="str">
        <f t="shared" si="19"/>
        <v>CDISC標準初心者のための業務プロセス基礎資料</v>
      </c>
      <c r="V27" s="40" t="str">
        <f t="shared" si="20"/>
        <v>CDISC標準（SDTM・ADaM）の業務全体フローと成果物・依存関係を体系化した入門資料。
特に「Raw → SDTM → ADaM → Submission」の実装プロセスと入出力関係を明確化している。</v>
      </c>
      <c r="W27" s="40" t="str">
        <f t="shared" si="21"/>
        <v>・CDISC標準導入の全体像把握
・SDTM/ADaM作成プロセスの理解
・初心者教育・オンボーディング対応
・業務プロセス・SOP設計
・CDISC標準導入時の検討項目整理</v>
      </c>
      <c r="X27" s="55"/>
      <c r="Y27" s="66" t="s">
        <v>576</v>
      </c>
      <c r="Z27" s="67" t="s">
        <v>577</v>
      </c>
    </row>
    <row r="28" spans="1:26" ht="105" customHeight="1" x14ac:dyDescent="0.4">
      <c r="A28" s="46" t="s">
        <v>488</v>
      </c>
      <c r="B28" s="46" t="s">
        <v>504</v>
      </c>
      <c r="C28" s="47" t="s">
        <v>500</v>
      </c>
      <c r="D28" s="51" t="str">
        <f t="shared" si="16"/>
        <v>cSDRG  記述方法Tips集_Version1.0</v>
      </c>
      <c r="E28" s="51" t="str">
        <f t="shared" si="17"/>
        <v>cSDRG  記述方法Tips集_Version1.0</v>
      </c>
      <c r="F28" s="51" t="s">
        <v>502</v>
      </c>
      <c r="G28" s="51"/>
      <c r="H28" s="46" t="s">
        <v>448</v>
      </c>
      <c r="I28" s="44" t="s">
        <v>506</v>
      </c>
      <c r="J28" s="44" t="s">
        <v>512</v>
      </c>
      <c r="K28" s="52"/>
      <c r="L28" s="51" t="str">
        <f t="shared" si="14"/>
        <v>cSDRG（Clinical SDRG）の具体的な記述方法・判断ポイント・Form Aとの対応関係を整理した実務Tips集。
Form A廃止後の「cSDRGでどこまで説明責任を持たせるか」を中心に構成された実践資料。</v>
      </c>
      <c r="M28" s="51" t="s">
        <v>517</v>
      </c>
      <c r="N28" s="44" t="s">
        <v>522</v>
      </c>
      <c r="O28" s="46" t="s">
        <v>463</v>
      </c>
      <c r="P28" s="47">
        <v>2024</v>
      </c>
      <c r="Q28" s="53" t="str">
        <f t="shared" si="15"/>
        <v>cSDRG  記述方法Tips集_Version1.0：cSDRGの記載方法・判断ポイントおよびForm Aとの対応整理</v>
      </c>
      <c r="R28" s="54" t="s">
        <v>443</v>
      </c>
      <c r="S28" s="36"/>
      <c r="T28" s="39">
        <f t="shared" si="18"/>
        <v>2024</v>
      </c>
      <c r="U28" s="40" t="str">
        <f t="shared" si="19"/>
        <v>cSDRG  記述方法Tips集_Version1.0</v>
      </c>
      <c r="V28" s="40" t="str">
        <f t="shared" si="20"/>
        <v>cSDRG（Clinical SDRG）の具体的な記述方法・判断ポイント・Form Aとの対応関係を整理した実務Tips集。
Form A廃止後の「cSDRGでどこまで説明責任を持たせるか」を中心に構成された実践資料。</v>
      </c>
      <c r="W28" s="40" t="str">
        <f t="shared" si="21"/>
        <v>・cSDRGの記載内容・記載粒度の判断
・cSDRGとDefine.xmlの役割分担設計
・Validation Issueの説明方針・記載レベル判断
・Traceabilityの記述範囲・記載粒度判断
・レガシーデータ対応方針・LDCP作成要否判断</v>
      </c>
      <c r="X28" s="55"/>
      <c r="Y28" s="66" t="s">
        <v>579</v>
      </c>
      <c r="Z28" s="67" t="s">
        <v>585</v>
      </c>
    </row>
    <row r="29" spans="1:26" ht="118.5" customHeight="1" x14ac:dyDescent="0.4">
      <c r="A29" s="46" t="s">
        <v>489</v>
      </c>
      <c r="B29" s="46" t="s">
        <v>128</v>
      </c>
      <c r="C29" s="47" t="s">
        <v>129</v>
      </c>
      <c r="D29" s="51" t="str">
        <f t="shared" si="16"/>
        <v>cSDRG_記述方法Tips集_ver2.0</v>
      </c>
      <c r="E29" s="51" t="str">
        <f t="shared" si="17"/>
        <v>cSDRG  記述方法Tips集_Version2.0</v>
      </c>
      <c r="F29" s="51" t="s">
        <v>497</v>
      </c>
      <c r="G29" s="51"/>
      <c r="H29" s="46" t="s">
        <v>473</v>
      </c>
      <c r="I29" s="44" t="s">
        <v>507</v>
      </c>
      <c r="J29" s="44" t="s">
        <v>548</v>
      </c>
      <c r="K29" s="52"/>
      <c r="L29" s="51" t="str">
        <f t="shared" si="14"/>
        <v xml:space="preserve">Form A対応を主目的としていたVersion1.0を拡張し、PMDA技術的ガイド、申請電子データ通知、FAQ要求事項まで含めてcSDRG記載方法を整理した実務ガイド。単なるテンプレート解説ではなく、「どの情報をどこで説明するか」を規定している。 </v>
      </c>
      <c r="M29" s="51" t="s">
        <v>518</v>
      </c>
      <c r="N29" s="44" t="s">
        <v>523</v>
      </c>
      <c r="O29" s="46" t="s">
        <v>476</v>
      </c>
      <c r="P29" s="47">
        <v>2025</v>
      </c>
      <c r="Q29" s="53" t="str">
        <f t="shared" si="15"/>
        <v>cSDRG  記述方法Tips集_Version2.0：cSDRGの記載方法とPMDA要求事項・Form A対応の実務整理</v>
      </c>
      <c r="R29" s="54" t="s">
        <v>443</v>
      </c>
      <c r="S29" s="36"/>
      <c r="T29" s="39">
        <f t="shared" si="18"/>
        <v>2025</v>
      </c>
      <c r="U29" s="40" t="str">
        <f t="shared" si="19"/>
        <v>cSDRG  記述方法Tips集_Version2.0</v>
      </c>
      <c r="V29" s="40" t="str">
        <f t="shared" si="20"/>
        <v xml:space="preserve">Form A対応を主目的としていたVersion1.0を拡張し、PMDA技術的ガイド、申請電子データ通知、FAQ要求事項まで含めてcSDRG記載方法を整理した実務ガイド。単なるテンプレート解説ではなく、「どの情報をどこで説明するか」を規定している。 </v>
      </c>
      <c r="W29" s="40" t="str">
        <f t="shared" si="21"/>
        <v>・PMDA要求事項のcSDRGへの反映方針整理
・Define.xmlとcSDRGの記載分担判断
・日本語データ・翻訳データの説明方法整理
・PC-PPトレーサビリティおよびRELRECの説明方法整理
・Legacy Data Conversion時のLDCP構成判断</v>
      </c>
      <c r="X29" s="55"/>
      <c r="Y29" s="66" t="s">
        <v>579</v>
      </c>
      <c r="Z29" s="67" t="s">
        <v>585</v>
      </c>
    </row>
    <row r="30" spans="1:26" ht="135.75" customHeight="1" x14ac:dyDescent="0.4">
      <c r="A30" s="46">
        <v>42</v>
      </c>
      <c r="B30" s="46" t="s">
        <v>490</v>
      </c>
      <c r="C30" s="47" t="s">
        <v>503</v>
      </c>
      <c r="D30" s="51" t="str">
        <f t="shared" si="16"/>
        <v>FDAに提出したSDTMをPMDAに提出するためのTips集</v>
      </c>
      <c r="E30" s="51" t="str">
        <f t="shared" si="17"/>
        <v>FDAに提出したSDTMをPMDAに提出するためのTips集</v>
      </c>
      <c r="F30" s="51" t="s">
        <v>496</v>
      </c>
      <c r="G30" s="51"/>
      <c r="H30" s="46" t="s">
        <v>473</v>
      </c>
      <c r="I30" s="44" t="s">
        <v>508</v>
      </c>
      <c r="J30" s="44" t="s">
        <v>547</v>
      </c>
      <c r="K30" s="52"/>
      <c r="L30" s="51" t="str">
        <f t="shared" si="14"/>
        <v>FDA提出済みのSDTMパッケージをPMDA提出用へ変換する際に発生する実務課題と対応方法を整理したTips集。単なるcSDRGの話ではなく、SDTM、define.xml、cSDRG、LDCPを含むFDA→PMDA移行設計全体を対象としている。</v>
      </c>
      <c r="M30" s="51" t="s">
        <v>519</v>
      </c>
      <c r="N30" s="44" t="s">
        <v>524</v>
      </c>
      <c r="O30" s="46" t="s">
        <v>487</v>
      </c>
      <c r="P30" s="47">
        <v>2026</v>
      </c>
      <c r="Q30" s="53" t="str">
        <f t="shared" si="15"/>
        <v>FDAに提出したSDTMをPMDAに提出するためのTips集：FDA提出済みSDTMパッケージのPMDA提出対応における実務課題と対応整理</v>
      </c>
      <c r="R30" s="54" t="s">
        <v>443</v>
      </c>
      <c r="S30" s="36"/>
      <c r="T30" s="39">
        <f t="shared" si="18"/>
        <v>2026</v>
      </c>
      <c r="U30" s="40" t="str">
        <f t="shared" si="19"/>
        <v>FDAに提出したSDTMをPMDAに提出するためのTips集</v>
      </c>
      <c r="V30" s="40" t="str">
        <f t="shared" si="20"/>
        <v>FDA提出済みのSDTMパッケージをPMDA提出用へ変換する際に発生する実務課題と対応方法を整理したTips集。単なるcSDRGの話ではなく、SDTM、define.xml、cSDRG、LDCPを含むFDA→PMDA移行設計全体を対象としている。</v>
      </c>
      <c r="W30" s="40" t="str">
        <f t="shared" si="21"/>
        <v>・FDA提出済みSDTMのPMDA提出対応方針の判断
・ Validation Errorの修正・LDCP対応方針判断
・RELRECおよびPC-PPトレーサビリティの実装方針整理
・SDTMIGバージョン差異への対応方針整理
・define.xml修正範囲と整合性確認方針の整理</v>
      </c>
      <c r="X30" s="55"/>
      <c r="Y30" s="66" t="s">
        <v>581</v>
      </c>
      <c r="Z30" s="67" t="s">
        <v>585</v>
      </c>
    </row>
    <row r="31" spans="1:26" ht="72" x14ac:dyDescent="0.4">
      <c r="A31" s="43">
        <v>2</v>
      </c>
      <c r="B31" s="44" t="s">
        <v>10</v>
      </c>
      <c r="C31" s="44" t="s">
        <v>12</v>
      </c>
      <c r="D31" s="51" t="str">
        <f t="shared" si="16"/>
        <v>PhUSE Q&amp;A</v>
      </c>
      <c r="E31" s="51" t="str">
        <f t="shared" si="17"/>
        <v>PhuseサマリーFIX</v>
      </c>
      <c r="F31" s="51" t="s">
        <v>525</v>
      </c>
      <c r="G31" s="51"/>
      <c r="H31" s="43" t="s">
        <v>13</v>
      </c>
      <c r="I31" s="44" t="s">
        <v>135</v>
      </c>
      <c r="J31" s="44" t="s">
        <v>540</v>
      </c>
      <c r="K31" s="52"/>
      <c r="L31" s="51" t="str">
        <f t="shared" si="14"/>
        <v>PhUSEにおける運営・国際展開・言語方針および、SDTM実務に関わるQ&amp;A（PPドメイン、提出文書等）を整理した資料。標準仕様外の実務判断に関する補足知見を提供する。</v>
      </c>
      <c r="M31" s="51" t="s">
        <v>539</v>
      </c>
      <c r="N31" s="44" t="s">
        <v>554</v>
      </c>
      <c r="O31" s="44" t="s">
        <v>555</v>
      </c>
      <c r="P31" s="50">
        <v>2016</v>
      </c>
      <c r="Q31" s="53" t="str">
        <f t="shared" si="15"/>
        <v>PhUSE Q&amp;A：PhUSE運営・国際展開方針およびSDTM実務Q&amp;A整理</v>
      </c>
      <c r="R31" s="54" t="s">
        <v>441</v>
      </c>
      <c r="S31" s="36"/>
      <c r="T31" s="39">
        <f t="shared" si="18"/>
        <v>2016</v>
      </c>
      <c r="U31" s="40" t="str">
        <f t="shared" ref="U31:U40" si="22">F31</f>
        <v>PhUSE Q&amp;A</v>
      </c>
      <c r="V31" s="40" t="str">
        <f t="shared" ref="V31:V40" si="23">L31</f>
        <v>PhUSEにおける運営・国際展開・言語方針および、SDTM実務に関わるQ&amp;A（PPドメイン、提出文書等）を整理した資料。標準仕様外の実務判断に関する補足知見を提供する。</v>
      </c>
      <c r="W31" s="40" t="str">
        <f t="shared" ref="W31:W40" si="24">N31</f>
        <v>・PPドメインをSDTMで作成するかどうかを判断するときに使用
・英語以外のデータや文書を扱う際の運用方針を決めるときに使用
・標準に記載されていない実務運用（言語・WG）の方針を検討するときに使用</v>
      </c>
      <c r="X31" s="55"/>
      <c r="Y31" s="66" t="s">
        <v>578</v>
      </c>
      <c r="Z31" s="67" t="s">
        <v>577</v>
      </c>
    </row>
    <row r="32" spans="1:26" ht="120" x14ac:dyDescent="0.4">
      <c r="A32" s="43">
        <v>3</v>
      </c>
      <c r="B32" s="44" t="s">
        <v>14</v>
      </c>
      <c r="C32" s="44" t="s">
        <v>15</v>
      </c>
      <c r="D32" s="51" t="str">
        <f t="shared" si="16"/>
        <v>CDISC Standards Japanese Translation Activities Updates</v>
      </c>
      <c r="E32" s="51" t="str">
        <f t="shared" si="17"/>
        <v>2.CDISC_JPN_Translation_CJUG_SDTM_Meeting_20160219_Dr</v>
      </c>
      <c r="F32" s="51" t="s">
        <v>526</v>
      </c>
      <c r="G32" s="51"/>
      <c r="H32" s="43" t="s">
        <v>13</v>
      </c>
      <c r="I32" s="44" t="s">
        <v>140</v>
      </c>
      <c r="J32" s="44" t="s">
        <v>544</v>
      </c>
      <c r="K32" s="52"/>
      <c r="L32" s="51" t="str">
        <f t="shared" si="14"/>
        <v>CDISC標準の日本語翻訳に関するプロセス（COP007）および、翻訳品質・レビュー体制・実務課題を整理した資料。</v>
      </c>
      <c r="M32" s="51" t="s">
        <v>549</v>
      </c>
      <c r="N32" s="44" t="s">
        <v>556</v>
      </c>
      <c r="O32" s="44" t="s">
        <v>557</v>
      </c>
      <c r="P32" s="50">
        <v>2016</v>
      </c>
      <c r="Q32" s="53" t="str">
        <f t="shared" si="15"/>
        <v>CDISC Standards Japanese Translation Activities Updates：CDISC標準の日本語翻訳プロセスおよび翻訳品質・レビュー体制の実務課題整理</v>
      </c>
      <c r="R32" s="54" t="s">
        <v>441</v>
      </c>
      <c r="S32" s="36"/>
      <c r="T32" s="39">
        <f t="shared" si="18"/>
        <v>2016</v>
      </c>
      <c r="U32" s="40" t="str">
        <f t="shared" si="22"/>
        <v>CDISC Standards Japanese Translation Activities Updates</v>
      </c>
      <c r="V32" s="40" t="str">
        <f t="shared" si="23"/>
        <v>CDISC標準の日本語翻訳に関するプロセス（COP007）および、翻訳品質・レビュー体制・実務課題を整理した資料。</v>
      </c>
      <c r="W32" s="40" t="str">
        <f t="shared" si="24"/>
        <v xml:space="preserve">・日本語仕様書とDefine.xml／SDRGの用語不一致が発生したときに判断するときに使用
・翻訳ベースで設計してよいかを判断するときに使用
・レビュー指摘（用語解釈差）の原因分析を行うときに使用
・翻訳利用時のリスク（解釈ズレ）を評価するときに使用
</v>
      </c>
      <c r="X32" s="55"/>
      <c r="Y32" s="66" t="s">
        <v>579</v>
      </c>
      <c r="Z32" s="67" t="s">
        <v>580</v>
      </c>
    </row>
    <row r="33" spans="1:26" ht="120" x14ac:dyDescent="0.4">
      <c r="A33" s="43" t="s">
        <v>354</v>
      </c>
      <c r="B33" s="44" t="s">
        <v>181</v>
      </c>
      <c r="C33" s="44" t="s">
        <v>188</v>
      </c>
      <c r="D33" s="51" t="str">
        <f t="shared" si="16"/>
        <v>TAUG Cancer Team Report</v>
      </c>
      <c r="E33" s="51" t="str">
        <f>LEFT(C33,LEN(C33)-5)</f>
        <v>TAUG-BrCa意訳</v>
      </c>
      <c r="F33" s="51" t="s">
        <v>527</v>
      </c>
      <c r="G33" s="51" t="s">
        <v>409</v>
      </c>
      <c r="H33" s="43" t="s">
        <v>13</v>
      </c>
      <c r="I33" s="44" t="s">
        <v>189</v>
      </c>
      <c r="J33" s="44" t="s">
        <v>534</v>
      </c>
      <c r="K33" s="51" t="s">
        <v>533</v>
      </c>
      <c r="L33" s="51" t="str">
        <f t="shared" si="14"/>
        <v>TAUG（乳がん）の4.2章「腫瘍識別・評価・反応」に特化し、TU/TR/RSドメインの使い分け、PRドメインとの関係、RELRECによるリンク、および非標準変数（PRTYP等）の実装方法を具体例で示した資料。</v>
      </c>
      <c r="M33" s="51" t="s">
        <v>550</v>
      </c>
      <c r="N33" s="44" t="s">
        <v>558</v>
      </c>
      <c r="O33" s="44" t="s">
        <v>559</v>
      </c>
      <c r="P33" s="50">
        <v>2016</v>
      </c>
      <c r="Q33" s="56" t="str">
        <f t="shared" si="15"/>
        <v>TAUG Cancer Team Report：乳がんTAUGにおける腫瘍データモデリングおよび病理・前治療データ実装整理</v>
      </c>
      <c r="R33" s="57" t="s">
        <v>441</v>
      </c>
      <c r="S33" s="36"/>
      <c r="T33" s="39">
        <f t="shared" si="18"/>
        <v>2016</v>
      </c>
      <c r="U33" s="40" t="str">
        <f t="shared" si="22"/>
        <v>TAUG Cancer Team Report</v>
      </c>
      <c r="V33" s="40" t="str">
        <f t="shared" si="23"/>
        <v>TAUG（乳がん）の4.2章「腫瘍識別・評価・反応」に特化し、TU/TR/RSドメインの使い分け、PRドメインとの関係、RELRECによるリンク、および非標準変数（PRTYP等）の実装方法を具体例で示した資料。</v>
      </c>
      <c r="W33" s="40" t="str">
        <f t="shared" si="24"/>
        <v>・腫瘍データをTU/TR/RSにどう分けるか判断するときに使用
・RELRECやREFIDによるドメイン間リンク設計をするときに使用
・前治療（Regimen）をCMでどう表現するか検討するときに使用
・NSVをどの粒度で追加するか判断するときに使用
・Oncology領域の実装例を調べるときに使用</v>
      </c>
      <c r="X33" s="55"/>
      <c r="Y33" s="66" t="s">
        <v>579</v>
      </c>
      <c r="Z33" s="67" t="s">
        <v>580</v>
      </c>
    </row>
    <row r="34" spans="1:26" ht="120" x14ac:dyDescent="0.4">
      <c r="A34" s="43" t="s">
        <v>355</v>
      </c>
      <c r="B34" s="44" t="s">
        <v>181</v>
      </c>
      <c r="C34" s="44" t="s">
        <v>193</v>
      </c>
      <c r="D34" s="51" t="str">
        <f t="shared" si="16"/>
        <v>TAUG Cancer Team Report</v>
      </c>
      <c r="E34" s="51" t="str">
        <f>LEFT(C34,LEN(C34)-5)</f>
        <v>TAUG-BrCa意訳_sec0402</v>
      </c>
      <c r="F34" s="51" t="s">
        <v>527</v>
      </c>
      <c r="G34" s="51" t="s">
        <v>409</v>
      </c>
      <c r="H34" s="43" t="s">
        <v>13</v>
      </c>
      <c r="I34" s="44" t="s">
        <v>194</v>
      </c>
      <c r="J34" s="44" t="s">
        <v>533</v>
      </c>
      <c r="K34" s="51" t="s">
        <v>533</v>
      </c>
      <c r="L34" s="51" t="str">
        <f t="shared" si="14"/>
        <v>TAUG（乳がん）の4.2章「腫瘍識別・評価・反応」に特化し、TU/TR/RSドメインの使い分け、PRドメインとの関係、RELRECによるリンク、および非標準変数（PRTYP等）の実装方法を具体例で示した資料。</v>
      </c>
      <c r="M34" s="51" t="s">
        <v>550</v>
      </c>
      <c r="N34" s="44" t="s">
        <v>560</v>
      </c>
      <c r="O34" s="44" t="s">
        <v>561</v>
      </c>
      <c r="P34" s="50">
        <v>2016</v>
      </c>
      <c r="Q34" s="56" t="str">
        <f t="shared" si="15"/>
        <v>TAUG Cancer Team Report：乳がんTAUGにおける腫瘍データモデリングおよび病理・前治療データ実装整理</v>
      </c>
      <c r="R34" s="57" t="s">
        <v>441</v>
      </c>
      <c r="S34" s="36"/>
      <c r="T34" s="39">
        <f t="shared" si="18"/>
        <v>2016</v>
      </c>
      <c r="U34" s="40" t="str">
        <f t="shared" si="22"/>
        <v>TAUG Cancer Team Report</v>
      </c>
      <c r="V34" s="40" t="str">
        <f t="shared" si="23"/>
        <v>TAUG（乳がん）の4.2章「腫瘍識別・評価・反応」に特化し、TU/TR/RSドメインの使い分け、PRドメインとの関係、RELRECによるリンク、および非標準変数（PRTYP等）の実装方法を具体例で示した資料。</v>
      </c>
      <c r="W34" s="40" t="str">
        <f t="shared" si="24"/>
        <v>・TU/TR/RSの切り分けで迷ったときに使用
・腫瘍データをどのドメインに配置するか判断するときに使用
・PRドメインとTU/TRの関係を設計するときに使用
・RELREC／REFIDの設計方針を決めるときに使用
・RECISTベースのデータ構造を設計するときに使用</v>
      </c>
      <c r="X34" s="55"/>
      <c r="Y34" s="66" t="s">
        <v>579</v>
      </c>
      <c r="Z34" s="67" t="s">
        <v>580</v>
      </c>
    </row>
    <row r="35" spans="1:26" ht="120" x14ac:dyDescent="0.4">
      <c r="A35" s="43">
        <v>19</v>
      </c>
      <c r="B35" s="44" t="s">
        <v>227</v>
      </c>
      <c r="C35" s="44" t="s">
        <v>226</v>
      </c>
      <c r="D35" s="51" t="str">
        <f t="shared" si="16"/>
        <v>Trial Design Datasets Programチーム活動報告</v>
      </c>
      <c r="E35" s="51" t="str">
        <f t="shared" si="17"/>
        <v>TDM-PGM_Activity Report_ENG_fixed</v>
      </c>
      <c r="F35" s="51" t="s">
        <v>528</v>
      </c>
      <c r="G35" s="51"/>
      <c r="H35" s="43" t="s">
        <v>13</v>
      </c>
      <c r="I35" s="44" t="s">
        <v>228</v>
      </c>
      <c r="J35" s="44" t="s">
        <v>535</v>
      </c>
      <c r="K35" s="52"/>
      <c r="L35" s="51" t="str">
        <f t="shared" si="14"/>
        <v>Trial Design Dataset（TA/TE/TI/TS/TV）の仕様作成、SASプログラムによるデータ生成、Pinnacle21によるValidation、およびその設計方針と課題を整理した活動報告。</v>
      </c>
      <c r="M35" s="51" t="s">
        <v>551</v>
      </c>
      <c r="N35" s="44" t="s">
        <v>562</v>
      </c>
      <c r="O35" s="44" t="s">
        <v>563</v>
      </c>
      <c r="P35" s="50">
        <v>2017</v>
      </c>
      <c r="Q35" s="53" t="str">
        <f t="shared" si="15"/>
        <v>Trial Design Datasets Programチーム活動報告：Trial Design Dataset（TA/TE/TI/TS/TV）の仕様作成・データ生成・Validation実施における設計方針と課題整理</v>
      </c>
      <c r="R35" s="54" t="s">
        <v>441</v>
      </c>
      <c r="S35" s="36"/>
      <c r="T35" s="39">
        <f t="shared" si="18"/>
        <v>2017</v>
      </c>
      <c r="U35" s="40" t="str">
        <f t="shared" si="22"/>
        <v>Trial Design Datasets Programチーム活動報告</v>
      </c>
      <c r="V35" s="40" t="str">
        <f t="shared" si="23"/>
        <v>Trial Design Dataset（TA/TE/TI/TS/TV）の仕様作成、SASプログラムによるデータ生成、Pinnacle21によるValidation、およびその設計方針と課題を整理した活動報告。</v>
      </c>
      <c r="W35" s="40" t="str">
        <f t="shared" si="24"/>
        <v>・Trial Design Dataset（TA/TE/TI/TS/TV）を実装するときに使用
・Spec設計（どこまで書くか）の判断に使用
・SASプログラム設計（再利用性・変更耐性）に使用
・P21 Validationエラーの解釈に使用
・TSドメインのCTエラー対応方針検討に使用</v>
      </c>
      <c r="X35" s="55"/>
      <c r="Y35" s="66" t="s">
        <v>581</v>
      </c>
      <c r="Z35" s="67" t="s">
        <v>582</v>
      </c>
    </row>
    <row r="36" spans="1:26" ht="60" x14ac:dyDescent="0.4">
      <c r="A36" s="43">
        <v>20</v>
      </c>
      <c r="B36" s="44" t="s">
        <v>233</v>
      </c>
      <c r="C36" s="44" t="s">
        <v>232</v>
      </c>
      <c r="D36" s="51" t="str">
        <f t="shared" si="16"/>
        <v>Rチーム活動報告</v>
      </c>
      <c r="E36" s="51" t="str">
        <f t="shared" si="17"/>
        <v>SDTM+RTeam_Workshop2017-dist</v>
      </c>
      <c r="F36" s="51" t="s">
        <v>529</v>
      </c>
      <c r="G36" s="51"/>
      <c r="H36" s="43" t="s">
        <v>13</v>
      </c>
      <c r="I36" s="44" t="s">
        <v>234</v>
      </c>
      <c r="J36" s="44" t="s">
        <v>536</v>
      </c>
      <c r="K36" s="52"/>
      <c r="L36" s="51" t="str">
        <f t="shared" si="14"/>
        <v>SDTMデータをRで取り込み、加工・可視化・レポート作成・バージョン管理までを一貫して実施する方法を整理し、データマネジメント業務の効率化・再現性向上を目的とした実践的なワークショップ資料。</v>
      </c>
      <c r="M36" s="51" t="s">
        <v>552</v>
      </c>
      <c r="N36" s="44" t="s">
        <v>564</v>
      </c>
      <c r="O36" s="44" t="s">
        <v>565</v>
      </c>
      <c r="P36" s="50">
        <v>2017</v>
      </c>
      <c r="Q36" s="53" t="str">
        <f t="shared" si="15"/>
        <v>Rチーム活動報告：SDTMデータのR活用による加工・可視化・レポート作成およびデータ管理業務効率化の実践整理</v>
      </c>
      <c r="R36" s="54" t="s">
        <v>441</v>
      </c>
      <c r="S36" s="36"/>
      <c r="T36" s="39">
        <f t="shared" si="18"/>
        <v>2017</v>
      </c>
      <c r="U36" s="40" t="str">
        <f t="shared" si="22"/>
        <v>Rチーム活動報告</v>
      </c>
      <c r="V36" s="40" t="str">
        <f t="shared" si="23"/>
        <v>SDTMデータをRで取り込み、加工・可視化・レポート作成・バージョン管理までを一貫して実施する方法を整理し、データマネジメント業務の効率化・再現性向上を目的とした実践的なワークショップ資料。</v>
      </c>
      <c r="W36" s="40" t="str">
        <f t="shared" si="24"/>
        <v>・SDTMデータをRで扱うときに使用
・データレビュー／可視化設計
・レポート自動生成（再現性確保）
・DM業務の効率化検討
・プログラム版本管理（Git導入）</v>
      </c>
      <c r="X36" s="55"/>
      <c r="Y36" s="66" t="s">
        <v>583</v>
      </c>
      <c r="Z36" s="67" t="s">
        <v>584</v>
      </c>
    </row>
    <row r="37" spans="1:26" ht="72" x14ac:dyDescent="0.4">
      <c r="A37" s="43">
        <v>21</v>
      </c>
      <c r="B37" s="44" t="s">
        <v>239</v>
      </c>
      <c r="C37" s="44" t="s">
        <v>238</v>
      </c>
      <c r="D37" s="51" t="str">
        <f t="shared" si="16"/>
        <v>Custom Domainチーム活動報告</v>
      </c>
      <c r="E37" s="51" t="str">
        <f t="shared" si="17"/>
        <v>Custom Domain アンケート結果_170512_Final</v>
      </c>
      <c r="F37" s="51" t="s">
        <v>530</v>
      </c>
      <c r="G37" s="51"/>
      <c r="H37" s="43" t="s">
        <v>13</v>
      </c>
      <c r="I37" s="44" t="s">
        <v>240</v>
      </c>
      <c r="J37" s="44" t="s">
        <v>537</v>
      </c>
      <c r="K37" s="52"/>
      <c r="L37" s="51" t="str">
        <f t="shared" si="14"/>
        <v>Custom Domainの作成経験、使用領域、運用体制（SOP・組織・テンプレート）などについて、業界内の実態をアンケート形式で整理した資料。</v>
      </c>
      <c r="M37" s="51" t="s">
        <v>553</v>
      </c>
      <c r="N37" s="44" t="s">
        <v>566</v>
      </c>
      <c r="O37" s="44" t="s">
        <v>567</v>
      </c>
      <c r="P37" s="50">
        <v>2017</v>
      </c>
      <c r="Q37" s="53" t="str">
        <f t="shared" si="15"/>
        <v>Custom Domainチーム活動報告：Custom Domainの作成実態・活用領域および運用体制に関する実態調査</v>
      </c>
      <c r="R37" s="54" t="s">
        <v>441</v>
      </c>
      <c r="S37" s="36"/>
      <c r="T37" s="39">
        <f t="shared" si="18"/>
        <v>2017</v>
      </c>
      <c r="U37" s="40" t="str">
        <f t="shared" si="22"/>
        <v>Custom Domainチーム活動報告</v>
      </c>
      <c r="V37" s="40" t="str">
        <f t="shared" si="23"/>
        <v>Custom Domainの作成経験、使用領域、運用体制（SOP・組織・テンプレート）などについて、業界内の実態をアンケート形式で整理した資料。</v>
      </c>
      <c r="W37" s="40" t="str">
        <f t="shared" si="24"/>
        <v>・Custom Domainを作るか判断するときに使用
・どのクラス（Findings等）で設計するかの参考
・社内SOP整備の必要性判断
・他社の実務実態を把握</v>
      </c>
      <c r="X37" s="55"/>
      <c r="Y37" s="66" t="s">
        <v>578</v>
      </c>
      <c r="Z37" s="67" t="s">
        <v>580</v>
      </c>
    </row>
    <row r="38" spans="1:26" ht="60" x14ac:dyDescent="0.4">
      <c r="A38" s="44">
        <v>27</v>
      </c>
      <c r="B38" s="44" t="s">
        <v>275</v>
      </c>
      <c r="C38" s="44" t="s">
        <v>274</v>
      </c>
      <c r="D38" s="51" t="str">
        <f t="shared" si="16"/>
        <v>AIチーム報告</v>
      </c>
      <c r="E38" s="51" t="str">
        <f t="shared" si="17"/>
        <v>AIチーム発表201807</v>
      </c>
      <c r="F38" s="51" t="s">
        <v>531</v>
      </c>
      <c r="G38" s="51"/>
      <c r="H38" s="44" t="s">
        <v>13</v>
      </c>
      <c r="I38" s="44" t="s">
        <v>276</v>
      </c>
      <c r="J38" s="44" t="s">
        <v>538</v>
      </c>
      <c r="K38" s="52"/>
      <c r="L38" s="51" t="str">
        <f t="shared" si="14"/>
        <v>SDTMを入力データとして中央モニタリング（RBM）を実施し、可視化ツール（Power BI）を用いて安全性や試験進捗を分析することで、SDTMを日常業務に活用する方法を示した実践的な活動報告。</v>
      </c>
      <c r="M38" s="51" t="s">
        <v>574</v>
      </c>
      <c r="N38" s="44" t="s">
        <v>568</v>
      </c>
      <c r="O38" s="44" t="s">
        <v>569</v>
      </c>
      <c r="P38" s="50">
        <v>2018</v>
      </c>
      <c r="Q38" s="53" t="str">
        <f t="shared" si="15"/>
        <v>AIチーム報告：SDTMを活用した中央モニタリング（RBM）および安全性・試験進捗分析の実践整理</v>
      </c>
      <c r="R38" s="54" t="s">
        <v>575</v>
      </c>
      <c r="S38" s="36"/>
      <c r="T38" s="39">
        <f t="shared" si="18"/>
        <v>2018</v>
      </c>
      <c r="U38" s="40" t="str">
        <f t="shared" si="22"/>
        <v>AIチーム報告</v>
      </c>
      <c r="V38" s="40" t="str">
        <f t="shared" si="23"/>
        <v>SDTMを入力データとして中央モニタリング（RBM）を実施し、可視化ツール（Power BI）を用いて安全性や試験進捗を分析することで、SDTMを日常業務に活用する方法を示した実践的な活動報告。</v>
      </c>
      <c r="W38" s="40" t="str">
        <f t="shared" si="24"/>
        <v>・AI活用検討
・データレビュー自動化
・異常検知
・テキスト解析
・業務効率化（チャットボット等）</v>
      </c>
      <c r="X38" s="55"/>
      <c r="Y38" s="66" t="s">
        <v>576</v>
      </c>
      <c r="Z38" s="67" t="s">
        <v>584</v>
      </c>
    </row>
    <row r="39" spans="1:26" ht="96" x14ac:dyDescent="0.4">
      <c r="A39" s="46" t="s">
        <v>464</v>
      </c>
      <c r="B39" s="46" t="s">
        <v>459</v>
      </c>
      <c r="C39" s="46" t="s">
        <v>465</v>
      </c>
      <c r="D39" s="51" t="str">
        <f t="shared" si="16"/>
        <v>cSDRG  記述方法Tips集_Version1.0</v>
      </c>
      <c r="E39" s="51" t="str">
        <f>LEFT(C39,LEN(C39)-5)</f>
        <v>いまさら3.3_sdrg_ver.1対応スライド</v>
      </c>
      <c r="F39" s="51" t="s">
        <v>502</v>
      </c>
      <c r="G39" s="51" t="s">
        <v>409</v>
      </c>
      <c r="H39" s="46" t="s">
        <v>466</v>
      </c>
      <c r="I39" s="46" t="s">
        <v>467</v>
      </c>
      <c r="J39" s="44" t="s">
        <v>545</v>
      </c>
      <c r="K39" s="51" t="s">
        <v>512</v>
      </c>
      <c r="L39" s="51" t="str">
        <f t="shared" si="14"/>
        <v>cSDRG（Clinical SDRG）の具体的な記述方法・判断ポイント・Form Aとの対応関係を整理した実務Tips集。
Form A廃止後の「cSDRGでどこまで説明責任を持たせるか」を中心に構成された実践資料。</v>
      </c>
      <c r="M39" s="51" t="s">
        <v>517</v>
      </c>
      <c r="N39" s="44" t="s">
        <v>570</v>
      </c>
      <c r="O39" s="44" t="s">
        <v>571</v>
      </c>
      <c r="P39" s="50">
        <v>2024</v>
      </c>
      <c r="Q39" s="56" t="str">
        <f t="shared" si="15"/>
        <v>cSDRG  記述方法Tips集_Version1.0：cSDRGの記載方法・判断ポイントおよびForm Aとの対応整理</v>
      </c>
      <c r="R39" s="57" t="s">
        <v>443</v>
      </c>
      <c r="S39" s="36"/>
      <c r="T39" s="39">
        <f t="shared" si="18"/>
        <v>2024</v>
      </c>
      <c r="U39" s="40" t="str">
        <f t="shared" si="22"/>
        <v>cSDRG  記述方法Tips集_Version1.0</v>
      </c>
      <c r="V39" s="40" t="str">
        <f t="shared" si="23"/>
        <v>cSDRG（Clinical SDRG）の具体的な記述方法・判断ポイント・Form Aとの対応関係を整理した実務Tips集。
Form A廃止後の「cSDRGでどこまで説明責任を持たせるか」を中心に構成された実践資料。</v>
      </c>
      <c r="W39" s="40" t="str">
        <f t="shared" si="24"/>
        <v>・cSDRGをForm A代替として設計するか判断するときに使用
・どの記載を削減できるか判断するときに使用
・TraceabilityにADaMを含める範囲を決めるときに使用
・Validation Issue説明の粒度を決めるときに使用</v>
      </c>
      <c r="X39" s="55"/>
      <c r="Y39" s="66" t="s">
        <v>576</v>
      </c>
      <c r="Z39" s="67" t="s">
        <v>585</v>
      </c>
    </row>
    <row r="40" spans="1:26" ht="120" x14ac:dyDescent="0.4">
      <c r="A40" s="46" t="s">
        <v>477</v>
      </c>
      <c r="B40" s="46" t="s">
        <v>471</v>
      </c>
      <c r="C40" s="46" t="s">
        <v>478</v>
      </c>
      <c r="D40" s="51" t="str">
        <f t="shared" si="16"/>
        <v>cSDRG_記述方法Tips集_ver2.0</v>
      </c>
      <c r="E40" s="51" t="str">
        <f>LEFT(C40,LEN(C40)-5)</f>
        <v>いまさら3.3_sdrg_ver.2対応スライド</v>
      </c>
      <c r="F40" s="51" t="s">
        <v>532</v>
      </c>
      <c r="G40" s="51" t="s">
        <v>409</v>
      </c>
      <c r="H40" s="46" t="s">
        <v>479</v>
      </c>
      <c r="I40" s="46" t="s">
        <v>480</v>
      </c>
      <c r="J40" s="44" t="s">
        <v>546</v>
      </c>
      <c r="K40" s="51" t="s">
        <v>548</v>
      </c>
      <c r="L40" s="51" t="str">
        <f t="shared" si="14"/>
        <v xml:space="preserve">Form A対応を主目的としていたVersion1.0を拡張し、PMDA技術的ガイド、申請電子データ通知、FAQ要求事項まで含めてcSDRG記載方法を整理した実務ガイド。単なるテンプレート解説ではなく、「どの情報をどこで説明するか」を規定している。 </v>
      </c>
      <c r="M40" s="51" t="s">
        <v>518</v>
      </c>
      <c r="N40" s="44" t="s">
        <v>572</v>
      </c>
      <c r="O40" s="44" t="s">
        <v>573</v>
      </c>
      <c r="P40" s="50">
        <v>2025</v>
      </c>
      <c r="Q40" s="56" t="str">
        <f t="shared" si="15"/>
        <v>cSDRG_記述方法Tips集_ver2.0：cSDRGの記載方法とPMDA要求事項・Form A対応の実務整理</v>
      </c>
      <c r="R40" s="57" t="s">
        <v>443</v>
      </c>
      <c r="S40" s="36"/>
      <c r="T40" s="39">
        <f t="shared" si="18"/>
        <v>2025</v>
      </c>
      <c r="U40" s="40" t="str">
        <f t="shared" si="22"/>
        <v>cSDRG_記述方法Tips集_ver2.0</v>
      </c>
      <c r="V40" s="40" t="str">
        <f t="shared" si="23"/>
        <v xml:space="preserve">Form A対応を主目的としていたVersion1.0を拡張し、PMDA技術的ガイド、申請電子データ通知、FAQ要求事項まで含めてcSDRG記載方法を整理した実務ガイド。単なるテンプレート解説ではなく、「どの情報をどこで説明するか」を規定している。 </v>
      </c>
      <c r="W40" s="40" t="str">
        <f t="shared" si="24"/>
        <v>・PMDA技術的ガイドの要求事項をcSDRGへ反映するか判断するときに使用
・日本語データや翻訳データの説明方法を決定するときに使用
・統合解析時のCDISCバージョン差異の説明要否を判断するときに使用
・SUPPやRELRECの説明責任を整理するときに使用
・中間解析データや追加提出データの説明方針を決定するときに使用</v>
      </c>
      <c r="X40" s="55"/>
      <c r="Y40" s="66" t="s">
        <v>576</v>
      </c>
      <c r="Z40" s="67" t="s">
        <v>585</v>
      </c>
    </row>
    <row r="41" spans="1:26" x14ac:dyDescent="0.4">
      <c r="A41" s="8"/>
      <c r="B41" s="35"/>
      <c r="C41" s="35"/>
      <c r="D41" s="35"/>
      <c r="E41" s="35"/>
      <c r="F41" s="35"/>
      <c r="G41" s="35"/>
      <c r="H41" s="8"/>
      <c r="I41" s="35"/>
      <c r="J41" s="8"/>
      <c r="K41" s="8"/>
      <c r="L41" s="8"/>
      <c r="M41" s="8"/>
      <c r="N41" s="8"/>
      <c r="O41" s="8"/>
      <c r="P41" s="8"/>
    </row>
    <row r="42" spans="1:26" x14ac:dyDescent="0.4">
      <c r="A42" s="8"/>
      <c r="B42" s="35"/>
      <c r="C42" s="35"/>
      <c r="D42" s="35"/>
      <c r="E42" s="35"/>
      <c r="F42" s="35"/>
      <c r="G42" s="35"/>
      <c r="H42" s="8"/>
      <c r="I42" s="35"/>
      <c r="J42" s="8"/>
      <c r="K42" s="8"/>
      <c r="L42" s="8"/>
      <c r="M42" s="8"/>
      <c r="N42" s="8"/>
      <c r="O42" s="8"/>
      <c r="P42" s="8"/>
    </row>
    <row r="43" spans="1:26" x14ac:dyDescent="0.4">
      <c r="A43" s="8"/>
      <c r="B43" s="35"/>
      <c r="C43" s="35"/>
      <c r="D43" s="35"/>
      <c r="E43" s="35"/>
      <c r="F43" s="35"/>
      <c r="G43" s="35"/>
      <c r="H43" s="8"/>
      <c r="I43" s="35"/>
      <c r="J43" s="8"/>
      <c r="K43" s="8"/>
      <c r="L43" s="8"/>
      <c r="M43" s="8"/>
      <c r="N43" s="8"/>
      <c r="O43" s="8"/>
      <c r="P43" s="8"/>
    </row>
    <row r="44" spans="1:26" x14ac:dyDescent="0.4">
      <c r="A44" s="8"/>
      <c r="B44" s="35"/>
      <c r="C44" s="35"/>
      <c r="D44" s="35"/>
      <c r="E44" s="35"/>
      <c r="F44" s="35"/>
      <c r="G44" s="35"/>
      <c r="H44" s="8"/>
      <c r="I44" s="35"/>
      <c r="J44" s="8"/>
      <c r="K44" s="8"/>
      <c r="L44" s="8"/>
      <c r="M44" s="8"/>
      <c r="N44" s="8"/>
      <c r="O44" s="8"/>
      <c r="P44" s="8"/>
    </row>
    <row r="45" spans="1:26" x14ac:dyDescent="0.4">
      <c r="A45" s="8"/>
      <c r="B45" s="35"/>
      <c r="C45" s="35"/>
      <c r="D45" s="35"/>
      <c r="E45" s="35"/>
      <c r="F45" s="35"/>
      <c r="G45" s="35"/>
      <c r="H45" s="8"/>
      <c r="I45" s="35"/>
      <c r="J45" s="8"/>
      <c r="K45" s="8"/>
      <c r="L45" s="8"/>
      <c r="M45" s="8"/>
      <c r="N45" s="8"/>
      <c r="O45" s="8"/>
      <c r="P45" s="8"/>
    </row>
    <row r="46" spans="1:26" x14ac:dyDescent="0.4">
      <c r="A46" s="8"/>
      <c r="B46" s="35"/>
      <c r="C46" s="35"/>
      <c r="D46" s="35"/>
      <c r="E46" s="35"/>
      <c r="F46" s="35"/>
      <c r="G46" s="35"/>
      <c r="H46" s="8"/>
      <c r="I46" s="35"/>
      <c r="J46" s="8"/>
      <c r="K46" s="8"/>
      <c r="L46" s="8"/>
      <c r="M46" s="8"/>
      <c r="N46" s="8"/>
      <c r="O46" s="8"/>
      <c r="P46" s="8"/>
    </row>
    <row r="47" spans="1:26" x14ac:dyDescent="0.4">
      <c r="A47" s="8"/>
      <c r="B47" s="35"/>
      <c r="C47" s="35"/>
      <c r="D47" s="35"/>
      <c r="E47" s="35"/>
      <c r="F47" s="35"/>
      <c r="G47" s="35"/>
      <c r="H47" s="8"/>
      <c r="I47" s="35"/>
      <c r="J47" s="8"/>
      <c r="K47" s="8"/>
      <c r="L47" s="8"/>
      <c r="M47" s="8"/>
      <c r="N47" s="8"/>
      <c r="O47" s="8"/>
      <c r="P47" s="8"/>
    </row>
    <row r="48" spans="1:26" x14ac:dyDescent="0.4">
      <c r="A48" s="8"/>
      <c r="B48" s="35"/>
      <c r="C48" s="35"/>
      <c r="D48" s="35"/>
      <c r="E48" s="35"/>
      <c r="F48" s="35"/>
      <c r="G48" s="35"/>
      <c r="H48" s="8"/>
      <c r="I48" s="35"/>
      <c r="J48" s="8"/>
      <c r="K48" s="8"/>
      <c r="L48" s="8"/>
      <c r="M48" s="8"/>
      <c r="N48" s="8"/>
      <c r="O48" s="8"/>
      <c r="P48" s="8"/>
    </row>
    <row r="49" spans="1:16" x14ac:dyDescent="0.4">
      <c r="A49" s="8"/>
      <c r="B49" s="35"/>
      <c r="C49" s="35"/>
      <c r="D49" s="35"/>
      <c r="E49" s="35"/>
      <c r="F49" s="35"/>
      <c r="G49" s="35"/>
      <c r="H49" s="8"/>
      <c r="I49" s="35"/>
      <c r="J49" s="8"/>
      <c r="K49" s="8"/>
      <c r="L49" s="8"/>
      <c r="M49" s="8"/>
      <c r="N49" s="8"/>
      <c r="O49" s="8"/>
      <c r="P49" s="8"/>
    </row>
    <row r="50" spans="1:16" x14ac:dyDescent="0.4">
      <c r="A50" s="8"/>
      <c r="B50" s="35"/>
      <c r="C50" s="35"/>
      <c r="D50" s="35"/>
      <c r="E50" s="35"/>
      <c r="F50" s="35"/>
      <c r="G50" s="35"/>
      <c r="H50" s="8"/>
      <c r="I50" s="35"/>
      <c r="J50" s="8"/>
      <c r="K50" s="8"/>
      <c r="L50" s="8"/>
      <c r="M50" s="8"/>
      <c r="N50" s="8"/>
      <c r="O50" s="8"/>
      <c r="P50" s="8"/>
    </row>
    <row r="51" spans="1:16" x14ac:dyDescent="0.4">
      <c r="A51" s="8"/>
      <c r="B51" s="35"/>
      <c r="C51" s="35"/>
      <c r="D51" s="35"/>
      <c r="E51" s="35"/>
      <c r="F51" s="35"/>
      <c r="G51" s="35"/>
      <c r="H51" s="8"/>
      <c r="I51" s="35"/>
      <c r="J51" s="8"/>
      <c r="K51" s="8"/>
      <c r="L51" s="8"/>
      <c r="M51" s="8"/>
      <c r="N51" s="8"/>
      <c r="O51" s="8"/>
      <c r="P51" s="8"/>
    </row>
    <row r="52" spans="1:16" x14ac:dyDescent="0.4">
      <c r="A52" s="8"/>
      <c r="B52" s="35"/>
      <c r="C52" s="35"/>
      <c r="D52" s="35"/>
      <c r="E52" s="35"/>
      <c r="F52" s="35"/>
      <c r="G52" s="35"/>
      <c r="H52" s="8"/>
      <c r="I52" s="35"/>
      <c r="J52" s="8"/>
      <c r="K52" s="8"/>
      <c r="L52" s="8"/>
      <c r="M52" s="8"/>
      <c r="N52" s="8"/>
      <c r="O52" s="8"/>
      <c r="P52" s="8"/>
    </row>
    <row r="53" spans="1:16" x14ac:dyDescent="0.4">
      <c r="A53" s="8"/>
      <c r="B53" s="35"/>
      <c r="C53" s="35"/>
      <c r="D53" s="35"/>
      <c r="E53" s="35"/>
      <c r="F53" s="35"/>
      <c r="G53" s="35"/>
      <c r="H53" s="8"/>
      <c r="I53" s="35"/>
      <c r="J53" s="8"/>
      <c r="K53" s="8"/>
      <c r="L53" s="8"/>
      <c r="M53" s="8"/>
      <c r="N53" s="8"/>
      <c r="O53" s="8"/>
      <c r="P53" s="8"/>
    </row>
    <row r="54" spans="1:16" x14ac:dyDescent="0.4">
      <c r="A54" s="8"/>
      <c r="B54" s="35"/>
      <c r="C54" s="35"/>
      <c r="D54" s="35"/>
      <c r="E54" s="35"/>
      <c r="F54" s="35"/>
      <c r="G54" s="35"/>
      <c r="H54" s="8"/>
      <c r="I54" s="35"/>
      <c r="J54" s="8"/>
      <c r="K54" s="8"/>
      <c r="L54" s="8"/>
      <c r="M54" s="8"/>
      <c r="N54" s="8"/>
      <c r="O54" s="8"/>
      <c r="P54" s="8"/>
    </row>
    <row r="55" spans="1:16" x14ac:dyDescent="0.4">
      <c r="A55" s="8"/>
      <c r="B55" s="35"/>
      <c r="C55" s="35"/>
      <c r="D55" s="35"/>
      <c r="E55" s="35"/>
      <c r="F55" s="35"/>
      <c r="G55" s="35"/>
      <c r="H55" s="8"/>
      <c r="I55" s="35"/>
      <c r="J55" s="8"/>
      <c r="K55" s="8"/>
      <c r="L55" s="8"/>
      <c r="M55" s="8"/>
      <c r="N55" s="8"/>
      <c r="O55" s="8"/>
      <c r="P55" s="8"/>
    </row>
    <row r="56" spans="1:16" x14ac:dyDescent="0.4">
      <c r="A56" s="8"/>
      <c r="B56" s="35"/>
      <c r="C56" s="35"/>
      <c r="D56" s="35"/>
      <c r="E56" s="35"/>
      <c r="F56" s="35"/>
      <c r="G56" s="35"/>
      <c r="H56" s="8"/>
      <c r="I56" s="35"/>
      <c r="J56" s="8"/>
      <c r="K56" s="8"/>
      <c r="L56" s="8"/>
      <c r="M56" s="8"/>
      <c r="N56" s="8"/>
      <c r="O56" s="8"/>
      <c r="P56" s="8"/>
    </row>
    <row r="57" spans="1:16" x14ac:dyDescent="0.4">
      <c r="A57" s="8"/>
      <c r="B57" s="35"/>
      <c r="C57" s="35"/>
      <c r="D57" s="35"/>
      <c r="E57" s="35"/>
      <c r="F57" s="35"/>
      <c r="G57" s="35"/>
      <c r="H57" s="8"/>
      <c r="I57" s="35"/>
      <c r="J57" s="8"/>
      <c r="K57" s="8"/>
      <c r="L57" s="8"/>
      <c r="M57" s="8"/>
      <c r="N57" s="8"/>
      <c r="O57" s="8"/>
      <c r="P57" s="8"/>
    </row>
    <row r="58" spans="1:16" x14ac:dyDescent="0.4">
      <c r="A58" s="8"/>
      <c r="B58" s="35"/>
      <c r="C58" s="35"/>
      <c r="D58" s="35"/>
      <c r="E58" s="35"/>
      <c r="F58" s="35"/>
      <c r="G58" s="35"/>
      <c r="H58" s="8"/>
      <c r="I58" s="35"/>
      <c r="J58" s="8"/>
      <c r="K58" s="8"/>
      <c r="L58" s="8"/>
      <c r="M58" s="8"/>
      <c r="N58" s="8"/>
      <c r="O58" s="8"/>
      <c r="P58" s="8"/>
    </row>
    <row r="59" spans="1:16" x14ac:dyDescent="0.4">
      <c r="A59" s="8"/>
      <c r="B59" s="35"/>
      <c r="C59" s="35"/>
      <c r="D59" s="35"/>
      <c r="E59" s="35"/>
      <c r="F59" s="35"/>
      <c r="G59" s="35"/>
      <c r="H59" s="8"/>
      <c r="I59" s="35"/>
      <c r="J59" s="8"/>
      <c r="K59" s="8"/>
      <c r="L59" s="8"/>
      <c r="M59" s="8"/>
      <c r="N59" s="8"/>
      <c r="O59" s="8"/>
      <c r="P59" s="8"/>
    </row>
    <row r="60" spans="1:16" x14ac:dyDescent="0.4">
      <c r="A60" s="8"/>
      <c r="B60" s="35"/>
      <c r="C60" s="35"/>
      <c r="D60" s="35"/>
      <c r="E60" s="35"/>
      <c r="F60" s="35"/>
      <c r="G60" s="35"/>
      <c r="H60" s="8"/>
      <c r="I60" s="35"/>
      <c r="J60" s="8"/>
      <c r="K60" s="8"/>
      <c r="L60" s="8"/>
      <c r="M60" s="8"/>
      <c r="N60" s="8"/>
      <c r="O60" s="8"/>
      <c r="P60" s="8"/>
    </row>
    <row r="61" spans="1:16" x14ac:dyDescent="0.4">
      <c r="A61" s="8"/>
      <c r="B61" s="35"/>
      <c r="C61" s="35"/>
      <c r="D61" s="35"/>
      <c r="E61" s="35"/>
      <c r="F61" s="35"/>
      <c r="G61" s="35"/>
      <c r="H61" s="8"/>
      <c r="I61" s="35"/>
      <c r="J61" s="8"/>
      <c r="K61" s="8"/>
      <c r="L61" s="8"/>
      <c r="M61" s="8"/>
      <c r="N61" s="8"/>
      <c r="O61" s="8"/>
      <c r="P61" s="8"/>
    </row>
    <row r="62" spans="1:16" x14ac:dyDescent="0.4">
      <c r="A62" s="8"/>
      <c r="B62" s="35"/>
      <c r="C62" s="35"/>
      <c r="D62" s="35"/>
      <c r="E62" s="35"/>
      <c r="F62" s="35"/>
      <c r="G62" s="35"/>
      <c r="H62" s="8"/>
      <c r="I62" s="35"/>
      <c r="J62" s="8"/>
      <c r="K62" s="8"/>
      <c r="L62" s="8"/>
      <c r="M62" s="8"/>
      <c r="N62" s="8"/>
      <c r="O62" s="8"/>
      <c r="P62" s="8"/>
    </row>
    <row r="63" spans="1:16" x14ac:dyDescent="0.4">
      <c r="A63" s="8"/>
      <c r="B63" s="35"/>
      <c r="C63" s="35"/>
      <c r="D63" s="35"/>
      <c r="E63" s="35"/>
      <c r="F63" s="35"/>
      <c r="G63" s="35"/>
      <c r="H63" s="8"/>
      <c r="I63" s="35"/>
      <c r="J63" s="8"/>
      <c r="K63" s="8"/>
      <c r="L63" s="8"/>
      <c r="M63" s="8"/>
      <c r="N63" s="8"/>
      <c r="O63" s="8"/>
      <c r="P63" s="8"/>
    </row>
    <row r="64" spans="1:16" x14ac:dyDescent="0.4">
      <c r="A64" s="8"/>
      <c r="B64" s="35"/>
      <c r="C64" s="35"/>
      <c r="D64" s="35"/>
      <c r="E64" s="35"/>
      <c r="F64" s="35"/>
      <c r="G64" s="35"/>
      <c r="H64" s="8"/>
      <c r="I64" s="35"/>
      <c r="J64" s="8"/>
      <c r="K64" s="8"/>
      <c r="L64" s="8"/>
      <c r="M64" s="8"/>
      <c r="N64" s="8"/>
      <c r="O64" s="8"/>
      <c r="P64" s="8"/>
    </row>
    <row r="65" spans="1:16" x14ac:dyDescent="0.4">
      <c r="A65" s="8"/>
      <c r="B65" s="35"/>
      <c r="C65" s="35"/>
      <c r="D65" s="35"/>
      <c r="E65" s="35"/>
      <c r="F65" s="35"/>
      <c r="G65" s="35"/>
      <c r="H65" s="8"/>
      <c r="I65" s="35"/>
      <c r="J65" s="8"/>
      <c r="K65" s="8"/>
      <c r="L65" s="8"/>
      <c r="M65" s="8"/>
      <c r="N65" s="8"/>
      <c r="O65" s="8"/>
      <c r="P65" s="8"/>
    </row>
    <row r="66" spans="1:16" x14ac:dyDescent="0.4">
      <c r="A66" s="8"/>
      <c r="B66" s="35"/>
      <c r="C66" s="35"/>
      <c r="D66" s="35"/>
      <c r="E66" s="35"/>
      <c r="F66" s="35"/>
      <c r="G66" s="35"/>
      <c r="H66" s="8"/>
      <c r="I66" s="35"/>
      <c r="J66" s="8"/>
      <c r="K66" s="8"/>
      <c r="L66" s="8"/>
      <c r="M66" s="8"/>
      <c r="N66" s="8"/>
      <c r="O66" s="8"/>
      <c r="P66" s="8"/>
    </row>
    <row r="67" spans="1:16" x14ac:dyDescent="0.4">
      <c r="A67" s="8"/>
      <c r="B67" s="35"/>
      <c r="C67" s="35"/>
      <c r="D67" s="35"/>
      <c r="E67" s="35"/>
      <c r="F67" s="35"/>
      <c r="G67" s="35"/>
      <c r="H67" s="8"/>
      <c r="I67" s="35"/>
      <c r="J67" s="8"/>
      <c r="K67" s="8"/>
      <c r="L67" s="8"/>
      <c r="M67" s="8"/>
      <c r="N67" s="8"/>
      <c r="O67" s="8"/>
      <c r="P67" s="8"/>
    </row>
    <row r="68" spans="1:16" x14ac:dyDescent="0.4">
      <c r="A68" s="8"/>
      <c r="B68" s="35"/>
      <c r="C68" s="35"/>
      <c r="D68" s="35"/>
      <c r="E68" s="35"/>
      <c r="F68" s="35"/>
      <c r="G68" s="35"/>
      <c r="H68" s="8"/>
      <c r="I68" s="35"/>
      <c r="J68" s="8"/>
      <c r="K68" s="8"/>
      <c r="L68" s="8"/>
      <c r="M68" s="8"/>
      <c r="N68" s="8"/>
      <c r="O68" s="8"/>
      <c r="P68" s="8"/>
    </row>
    <row r="69" spans="1:16" x14ac:dyDescent="0.4">
      <c r="A69" s="8"/>
      <c r="B69" s="35"/>
      <c r="C69" s="35"/>
      <c r="D69" s="35"/>
      <c r="E69" s="35"/>
      <c r="F69" s="35"/>
      <c r="G69" s="35"/>
      <c r="H69" s="8"/>
      <c r="I69" s="35"/>
      <c r="J69" s="8"/>
      <c r="K69" s="8"/>
      <c r="L69" s="8"/>
      <c r="M69" s="8"/>
      <c r="N69" s="8"/>
      <c r="O69" s="8"/>
      <c r="P69" s="8"/>
    </row>
    <row r="70" spans="1:16" x14ac:dyDescent="0.4">
      <c r="A70" s="8"/>
      <c r="B70" s="35"/>
      <c r="C70" s="35"/>
      <c r="D70" s="35"/>
      <c r="E70" s="35"/>
      <c r="F70" s="35"/>
      <c r="G70" s="35"/>
      <c r="H70" s="8"/>
      <c r="I70" s="35"/>
      <c r="J70" s="8"/>
      <c r="K70" s="8"/>
      <c r="L70" s="8"/>
      <c r="M70" s="8"/>
      <c r="N70" s="8"/>
      <c r="O70" s="8"/>
      <c r="P70" s="8"/>
    </row>
    <row r="71" spans="1:16" x14ac:dyDescent="0.4">
      <c r="A71" s="8"/>
      <c r="B71" s="35"/>
      <c r="C71" s="35"/>
      <c r="D71" s="35"/>
      <c r="E71" s="35"/>
      <c r="F71" s="35"/>
      <c r="G71" s="35"/>
      <c r="H71" s="8"/>
      <c r="I71" s="35"/>
      <c r="J71" s="8"/>
      <c r="K71" s="8"/>
      <c r="L71" s="8"/>
      <c r="M71" s="8"/>
      <c r="N71" s="8"/>
      <c r="O71" s="8"/>
      <c r="P71" s="8"/>
    </row>
    <row r="72" spans="1:16" x14ac:dyDescent="0.4">
      <c r="A72" s="8"/>
      <c r="B72" s="35"/>
      <c r="C72" s="35"/>
      <c r="D72" s="35"/>
      <c r="E72" s="35"/>
      <c r="F72" s="35"/>
      <c r="G72" s="35"/>
      <c r="H72" s="8"/>
      <c r="I72" s="35"/>
      <c r="J72" s="8"/>
      <c r="K72" s="8"/>
      <c r="L72" s="8"/>
      <c r="M72" s="8"/>
      <c r="N72" s="8"/>
      <c r="O72" s="8"/>
      <c r="P72" s="8"/>
    </row>
    <row r="73" spans="1:16" x14ac:dyDescent="0.4">
      <c r="A73" s="8"/>
      <c r="B73" s="35"/>
      <c r="C73" s="35"/>
      <c r="D73" s="35"/>
      <c r="E73" s="35"/>
      <c r="F73" s="35"/>
      <c r="G73" s="35"/>
      <c r="H73" s="8"/>
      <c r="I73" s="35"/>
      <c r="J73" s="8"/>
      <c r="K73" s="8"/>
      <c r="L73" s="8"/>
      <c r="M73" s="8"/>
      <c r="N73" s="8"/>
      <c r="O73" s="8"/>
      <c r="P73" s="8"/>
    </row>
    <row r="74" spans="1:16" x14ac:dyDescent="0.4">
      <c r="A74" s="8"/>
      <c r="B74" s="35"/>
      <c r="C74" s="35"/>
      <c r="D74" s="35"/>
      <c r="E74" s="35"/>
      <c r="F74" s="35"/>
      <c r="G74" s="35"/>
      <c r="H74" s="8"/>
      <c r="I74" s="35"/>
      <c r="J74" s="8"/>
      <c r="K74" s="8"/>
      <c r="L74" s="8"/>
      <c r="M74" s="8"/>
      <c r="N74" s="8"/>
      <c r="O74" s="8"/>
      <c r="P74" s="8"/>
    </row>
    <row r="75" spans="1:16" x14ac:dyDescent="0.4">
      <c r="A75" s="8"/>
      <c r="B75" s="35"/>
      <c r="C75" s="35"/>
      <c r="D75" s="35"/>
      <c r="E75" s="35"/>
      <c r="F75" s="35"/>
      <c r="G75" s="35"/>
      <c r="H75" s="8"/>
      <c r="I75" s="35"/>
      <c r="J75" s="8"/>
      <c r="K75" s="8"/>
      <c r="L75" s="8"/>
      <c r="M75" s="8"/>
      <c r="N75" s="8"/>
      <c r="O75" s="8"/>
      <c r="P75" s="8"/>
    </row>
    <row r="76" spans="1:16" x14ac:dyDescent="0.4">
      <c r="A76" s="8"/>
      <c r="B76" s="35"/>
      <c r="C76" s="35"/>
      <c r="D76" s="35"/>
      <c r="E76" s="35"/>
      <c r="F76" s="35"/>
      <c r="G76" s="35"/>
      <c r="H76" s="8"/>
      <c r="I76" s="35"/>
      <c r="J76" s="8"/>
      <c r="K76" s="8"/>
      <c r="L76" s="8"/>
      <c r="M76" s="8"/>
      <c r="N76" s="8"/>
      <c r="O76" s="8"/>
      <c r="P76" s="8"/>
    </row>
    <row r="77" spans="1:16" x14ac:dyDescent="0.4">
      <c r="A77" s="8"/>
      <c r="B77" s="35"/>
      <c r="C77" s="35"/>
      <c r="D77" s="35"/>
      <c r="E77" s="35"/>
      <c r="F77" s="35"/>
      <c r="G77" s="35"/>
      <c r="H77" s="8"/>
      <c r="I77" s="35"/>
      <c r="J77" s="8"/>
      <c r="K77" s="8"/>
      <c r="L77" s="8"/>
      <c r="M77" s="8"/>
      <c r="N77" s="8"/>
      <c r="O77" s="8"/>
      <c r="P77" s="8"/>
    </row>
    <row r="78" spans="1:16" x14ac:dyDescent="0.4">
      <c r="A78" s="8"/>
      <c r="B78" s="35"/>
      <c r="C78" s="35"/>
      <c r="D78" s="35"/>
      <c r="E78" s="35"/>
      <c r="F78" s="35"/>
      <c r="G78" s="35"/>
      <c r="H78" s="8"/>
      <c r="I78" s="35"/>
      <c r="J78" s="8"/>
      <c r="K78" s="8"/>
      <c r="L78" s="8"/>
      <c r="M78" s="8"/>
      <c r="N78" s="8"/>
      <c r="O78" s="8"/>
      <c r="P78" s="8"/>
    </row>
    <row r="79" spans="1:16" x14ac:dyDescent="0.4">
      <c r="A79" s="8"/>
      <c r="B79" s="35"/>
      <c r="C79" s="35"/>
      <c r="D79" s="35"/>
      <c r="E79" s="35"/>
      <c r="F79" s="35"/>
      <c r="G79" s="35"/>
      <c r="H79" s="8"/>
      <c r="I79" s="35"/>
      <c r="J79" s="8"/>
      <c r="K79" s="8"/>
      <c r="L79" s="8"/>
      <c r="M79" s="8"/>
      <c r="N79" s="8"/>
      <c r="O79" s="8"/>
      <c r="P79" s="8"/>
    </row>
    <row r="80" spans="1:16" x14ac:dyDescent="0.4">
      <c r="A80" s="8"/>
      <c r="B80" s="35"/>
      <c r="C80" s="35"/>
      <c r="D80" s="35"/>
      <c r="E80" s="35"/>
      <c r="F80" s="35"/>
      <c r="G80" s="35"/>
      <c r="H80" s="8"/>
      <c r="I80" s="35"/>
      <c r="J80" s="8"/>
      <c r="K80" s="8"/>
      <c r="L80" s="8"/>
      <c r="M80" s="8"/>
      <c r="N80" s="8"/>
      <c r="O80" s="8"/>
      <c r="P80" s="8"/>
    </row>
    <row r="81" spans="1:16" x14ac:dyDescent="0.4">
      <c r="A81" s="8"/>
      <c r="B81" s="35"/>
      <c r="C81" s="35"/>
      <c r="D81" s="35"/>
      <c r="E81" s="35"/>
      <c r="F81" s="35"/>
      <c r="G81" s="35"/>
      <c r="H81" s="8"/>
      <c r="I81" s="35"/>
      <c r="J81" s="8"/>
      <c r="K81" s="8"/>
      <c r="L81" s="8"/>
      <c r="M81" s="8"/>
      <c r="N81" s="8"/>
      <c r="O81" s="8"/>
      <c r="P81" s="8"/>
    </row>
    <row r="82" spans="1:16" x14ac:dyDescent="0.4">
      <c r="A82" s="8"/>
      <c r="B82" s="35"/>
      <c r="C82" s="35"/>
      <c r="D82" s="35"/>
      <c r="E82" s="35"/>
      <c r="F82" s="35"/>
      <c r="G82" s="35"/>
      <c r="H82" s="8"/>
      <c r="I82" s="35"/>
      <c r="J82" s="8"/>
      <c r="K82" s="8"/>
      <c r="L82" s="8"/>
      <c r="M82" s="8"/>
      <c r="N82" s="8"/>
      <c r="O82" s="8"/>
      <c r="P82" s="8"/>
    </row>
    <row r="83" spans="1:16" x14ac:dyDescent="0.4">
      <c r="A83" s="8"/>
      <c r="B83" s="35"/>
      <c r="C83" s="35"/>
      <c r="D83" s="35"/>
      <c r="E83" s="35"/>
      <c r="F83" s="35"/>
      <c r="G83" s="35"/>
      <c r="H83" s="8"/>
      <c r="I83" s="35"/>
      <c r="J83" s="8"/>
      <c r="K83" s="8"/>
      <c r="L83" s="8"/>
      <c r="M83" s="8"/>
      <c r="N83" s="8"/>
      <c r="O83" s="8"/>
      <c r="P83" s="8"/>
    </row>
    <row r="84" spans="1:16" x14ac:dyDescent="0.4">
      <c r="A84" s="8"/>
      <c r="B84" s="35"/>
      <c r="C84" s="35"/>
      <c r="D84" s="35"/>
      <c r="E84" s="35"/>
      <c r="F84" s="35"/>
      <c r="G84" s="35"/>
      <c r="H84" s="8"/>
      <c r="I84" s="35"/>
      <c r="J84" s="8"/>
      <c r="K84" s="8"/>
      <c r="L84" s="8"/>
      <c r="M84" s="8"/>
      <c r="N84" s="8"/>
      <c r="O84" s="8"/>
      <c r="P84" s="8"/>
    </row>
    <row r="85" spans="1:16" x14ac:dyDescent="0.4">
      <c r="A85" s="8"/>
      <c r="B85" s="35"/>
      <c r="C85" s="35"/>
      <c r="D85" s="35"/>
      <c r="E85" s="35"/>
      <c r="F85" s="35"/>
      <c r="G85" s="35"/>
      <c r="H85" s="8"/>
      <c r="I85" s="35"/>
      <c r="J85" s="8"/>
      <c r="K85" s="8"/>
      <c r="L85" s="8"/>
      <c r="M85" s="8"/>
      <c r="N85" s="8"/>
      <c r="O85" s="8"/>
      <c r="P85" s="8"/>
    </row>
    <row r="86" spans="1:16" x14ac:dyDescent="0.4">
      <c r="A86" s="8"/>
      <c r="B86" s="35"/>
      <c r="C86" s="35"/>
      <c r="D86" s="35"/>
      <c r="E86" s="35"/>
      <c r="F86" s="35"/>
      <c r="G86" s="35"/>
      <c r="H86" s="8"/>
      <c r="I86" s="35"/>
      <c r="J86" s="8"/>
      <c r="K86" s="8"/>
      <c r="L86" s="8"/>
      <c r="M86" s="8"/>
      <c r="N86" s="8"/>
      <c r="O86" s="8"/>
      <c r="P86" s="8"/>
    </row>
    <row r="87" spans="1:16" x14ac:dyDescent="0.4">
      <c r="A87" s="8"/>
      <c r="B87" s="35"/>
      <c r="C87" s="35"/>
      <c r="D87" s="35"/>
      <c r="E87" s="35"/>
      <c r="F87" s="35"/>
      <c r="G87" s="35"/>
      <c r="H87" s="8"/>
      <c r="I87" s="35"/>
      <c r="J87" s="8"/>
      <c r="K87" s="8"/>
      <c r="L87" s="8"/>
      <c r="M87" s="8"/>
      <c r="N87" s="8"/>
      <c r="O87" s="8"/>
      <c r="P87" s="8"/>
    </row>
    <row r="88" spans="1:16" x14ac:dyDescent="0.4">
      <c r="A88" s="8"/>
      <c r="B88" s="35"/>
      <c r="C88" s="35"/>
      <c r="D88" s="35"/>
      <c r="E88" s="35"/>
      <c r="F88" s="35"/>
      <c r="G88" s="35"/>
      <c r="H88" s="8"/>
      <c r="I88" s="35"/>
      <c r="J88" s="8"/>
      <c r="K88" s="8"/>
      <c r="L88" s="8"/>
      <c r="M88" s="8"/>
      <c r="N88" s="8"/>
      <c r="O88" s="8"/>
      <c r="P88" s="8"/>
    </row>
    <row r="89" spans="1:16" x14ac:dyDescent="0.4">
      <c r="A89" s="8"/>
      <c r="B89" s="35"/>
      <c r="C89" s="35"/>
      <c r="D89" s="35"/>
      <c r="E89" s="35"/>
      <c r="F89" s="35"/>
      <c r="G89" s="35"/>
      <c r="H89" s="8"/>
      <c r="I89" s="35"/>
      <c r="J89" s="8"/>
      <c r="K89" s="8"/>
      <c r="L89" s="8"/>
      <c r="M89" s="8"/>
      <c r="N89" s="8"/>
      <c r="O89" s="8"/>
      <c r="P89" s="8"/>
    </row>
    <row r="90" spans="1:16" x14ac:dyDescent="0.4">
      <c r="A90" s="8"/>
      <c r="B90" s="35"/>
      <c r="C90" s="35"/>
      <c r="D90" s="35"/>
      <c r="E90" s="35"/>
      <c r="F90" s="35"/>
      <c r="G90" s="35"/>
      <c r="H90" s="8"/>
      <c r="I90" s="35"/>
      <c r="J90" s="8"/>
      <c r="K90" s="8"/>
      <c r="L90" s="8"/>
      <c r="M90" s="8"/>
      <c r="N90" s="8"/>
      <c r="O90" s="8"/>
      <c r="P90" s="8"/>
    </row>
    <row r="91" spans="1:16" x14ac:dyDescent="0.4">
      <c r="A91" s="8"/>
      <c r="B91" s="35"/>
      <c r="C91" s="35"/>
      <c r="D91" s="35"/>
      <c r="E91" s="35"/>
      <c r="F91" s="35"/>
      <c r="G91" s="35"/>
      <c r="H91" s="8"/>
      <c r="I91" s="35"/>
      <c r="J91" s="8"/>
      <c r="K91" s="8"/>
      <c r="L91" s="8"/>
      <c r="M91" s="8"/>
      <c r="N91" s="8"/>
      <c r="O91" s="8"/>
      <c r="P91" s="8"/>
    </row>
    <row r="92" spans="1:16" x14ac:dyDescent="0.4">
      <c r="A92" s="8"/>
      <c r="B92" s="35"/>
      <c r="C92" s="35"/>
      <c r="D92" s="35"/>
      <c r="E92" s="35"/>
      <c r="F92" s="35"/>
      <c r="G92" s="35"/>
      <c r="H92" s="8"/>
      <c r="I92" s="35"/>
      <c r="J92" s="8"/>
      <c r="K92" s="8"/>
      <c r="L92" s="8"/>
      <c r="M92" s="8"/>
      <c r="N92" s="8"/>
      <c r="O92" s="8"/>
      <c r="P92" s="8"/>
    </row>
    <row r="93" spans="1:16" x14ac:dyDescent="0.4">
      <c r="A93" s="8"/>
      <c r="B93" s="35"/>
      <c r="C93" s="35"/>
      <c r="D93" s="35"/>
      <c r="E93" s="35"/>
      <c r="F93" s="35"/>
      <c r="G93" s="35"/>
      <c r="H93" s="8"/>
      <c r="I93" s="35"/>
      <c r="J93" s="8"/>
      <c r="K93" s="8"/>
      <c r="L93" s="8"/>
      <c r="M93" s="8"/>
      <c r="N93" s="8"/>
      <c r="O93" s="8"/>
      <c r="P93" s="8"/>
    </row>
    <row r="94" spans="1:16" x14ac:dyDescent="0.4">
      <c r="A94" s="8"/>
      <c r="B94" s="35"/>
      <c r="C94" s="35"/>
      <c r="D94" s="35"/>
      <c r="E94" s="35"/>
      <c r="F94" s="35"/>
      <c r="G94" s="35"/>
      <c r="H94" s="8"/>
      <c r="I94" s="35"/>
      <c r="J94" s="8"/>
      <c r="K94" s="8"/>
      <c r="L94" s="8"/>
      <c r="M94" s="8"/>
      <c r="N94" s="8"/>
      <c r="O94" s="8"/>
      <c r="P94" s="8"/>
    </row>
    <row r="95" spans="1:16" x14ac:dyDescent="0.4">
      <c r="A95" s="8"/>
      <c r="B95" s="35"/>
      <c r="C95" s="35"/>
      <c r="D95" s="35"/>
      <c r="E95" s="35"/>
      <c r="F95" s="35"/>
      <c r="G95" s="35"/>
      <c r="H95" s="8"/>
      <c r="I95" s="35"/>
      <c r="J95" s="8"/>
      <c r="K95" s="8"/>
      <c r="L95" s="8"/>
      <c r="M95" s="8"/>
      <c r="N95" s="8"/>
      <c r="O95" s="8"/>
      <c r="P95" s="8"/>
    </row>
    <row r="96" spans="1:16" x14ac:dyDescent="0.4">
      <c r="A96" s="8"/>
      <c r="B96" s="35"/>
      <c r="C96" s="35"/>
      <c r="D96" s="35"/>
      <c r="E96" s="35"/>
      <c r="F96" s="35"/>
      <c r="G96" s="35"/>
      <c r="H96" s="8"/>
      <c r="I96" s="35"/>
      <c r="J96" s="8"/>
      <c r="K96" s="8"/>
      <c r="L96" s="8"/>
      <c r="M96" s="8"/>
      <c r="N96" s="8"/>
      <c r="O96" s="8"/>
      <c r="P96" s="8"/>
    </row>
    <row r="97" spans="1:16" x14ac:dyDescent="0.4">
      <c r="A97" s="8"/>
      <c r="B97" s="35"/>
      <c r="C97" s="35"/>
      <c r="D97" s="35"/>
      <c r="E97" s="35"/>
      <c r="F97" s="35"/>
      <c r="G97" s="35"/>
      <c r="H97" s="8"/>
      <c r="I97" s="35"/>
      <c r="J97" s="8"/>
      <c r="K97" s="8"/>
      <c r="L97" s="8"/>
      <c r="M97" s="8"/>
      <c r="N97" s="8"/>
      <c r="O97" s="8"/>
      <c r="P97" s="8"/>
    </row>
    <row r="98" spans="1:16" x14ac:dyDescent="0.4">
      <c r="A98" s="8"/>
      <c r="B98" s="35"/>
      <c r="C98" s="35"/>
      <c r="D98" s="35"/>
      <c r="E98" s="35"/>
      <c r="F98" s="35"/>
      <c r="G98" s="35"/>
      <c r="H98" s="8"/>
      <c r="I98" s="35"/>
      <c r="J98" s="8"/>
      <c r="K98" s="8"/>
      <c r="L98" s="8"/>
      <c r="M98" s="8"/>
      <c r="N98" s="8"/>
      <c r="O98" s="8"/>
      <c r="P98" s="8"/>
    </row>
    <row r="99" spans="1:16" x14ac:dyDescent="0.4">
      <c r="A99" s="8"/>
      <c r="B99" s="35"/>
      <c r="C99" s="35"/>
      <c r="D99" s="35"/>
      <c r="E99" s="35"/>
      <c r="F99" s="35"/>
      <c r="G99" s="35"/>
      <c r="H99" s="8"/>
      <c r="I99" s="35"/>
      <c r="J99" s="8"/>
      <c r="K99" s="8"/>
      <c r="L99" s="8"/>
      <c r="M99" s="8"/>
      <c r="N99" s="8"/>
      <c r="O99" s="8"/>
      <c r="P99" s="8"/>
    </row>
    <row r="100" spans="1:16" x14ac:dyDescent="0.4">
      <c r="A100" s="8"/>
      <c r="B100" s="35"/>
      <c r="C100" s="35"/>
      <c r="D100" s="35"/>
      <c r="E100" s="35"/>
      <c r="F100" s="35"/>
      <c r="G100" s="35"/>
      <c r="H100" s="8"/>
      <c r="I100" s="35"/>
      <c r="J100" s="8"/>
      <c r="K100" s="8"/>
      <c r="L100" s="8"/>
      <c r="M100" s="8"/>
      <c r="N100" s="8"/>
      <c r="O100" s="8"/>
      <c r="P100" s="8"/>
    </row>
    <row r="101" spans="1:16" x14ac:dyDescent="0.4">
      <c r="A101" s="8"/>
      <c r="B101" s="35"/>
      <c r="C101" s="35"/>
      <c r="D101" s="35"/>
      <c r="E101" s="35"/>
      <c r="F101" s="35"/>
      <c r="G101" s="35"/>
      <c r="H101" s="8"/>
      <c r="I101" s="35"/>
      <c r="J101" s="8"/>
      <c r="K101" s="8"/>
      <c r="L101" s="8"/>
      <c r="M101" s="8"/>
      <c r="N101" s="8"/>
      <c r="O101" s="8"/>
      <c r="P101" s="8"/>
    </row>
    <row r="102" spans="1:16" x14ac:dyDescent="0.4">
      <c r="A102" s="8"/>
      <c r="B102" s="35"/>
      <c r="C102" s="35"/>
      <c r="D102" s="35"/>
      <c r="E102" s="35"/>
      <c r="F102" s="35"/>
      <c r="G102" s="35"/>
      <c r="H102" s="8"/>
      <c r="I102" s="35"/>
      <c r="J102" s="8"/>
      <c r="K102" s="8"/>
      <c r="L102" s="8"/>
      <c r="M102" s="8"/>
      <c r="N102" s="8"/>
      <c r="O102" s="8"/>
      <c r="P102" s="8"/>
    </row>
    <row r="103" spans="1:16" x14ac:dyDescent="0.4">
      <c r="A103" s="8"/>
      <c r="B103" s="35"/>
      <c r="C103" s="35"/>
      <c r="D103" s="35"/>
      <c r="E103" s="35"/>
      <c r="F103" s="35"/>
      <c r="G103" s="35"/>
      <c r="H103" s="8"/>
      <c r="I103" s="35"/>
      <c r="J103" s="8"/>
      <c r="K103" s="8"/>
      <c r="L103" s="8"/>
      <c r="M103" s="8"/>
      <c r="N103" s="8"/>
      <c r="O103" s="8"/>
      <c r="P103" s="8"/>
    </row>
    <row r="104" spans="1:16" x14ac:dyDescent="0.4">
      <c r="A104" s="8"/>
      <c r="B104" s="35"/>
      <c r="C104" s="35"/>
      <c r="D104" s="35"/>
      <c r="E104" s="35"/>
      <c r="F104" s="35"/>
      <c r="G104" s="35"/>
      <c r="H104" s="8"/>
      <c r="I104" s="35"/>
      <c r="J104" s="8"/>
      <c r="K104" s="8"/>
      <c r="L104" s="8"/>
      <c r="M104" s="8"/>
      <c r="N104" s="8"/>
      <c r="O104" s="8"/>
      <c r="P104" s="8"/>
    </row>
    <row r="105" spans="1:16" x14ac:dyDescent="0.4">
      <c r="A105" s="8"/>
      <c r="B105" s="35"/>
      <c r="C105" s="35"/>
      <c r="D105" s="35"/>
      <c r="E105" s="35"/>
      <c r="F105" s="35"/>
      <c r="G105" s="35"/>
      <c r="H105" s="8"/>
      <c r="I105" s="35"/>
      <c r="J105" s="8"/>
      <c r="K105" s="8"/>
      <c r="L105" s="8"/>
      <c r="M105" s="8"/>
      <c r="N105" s="8"/>
      <c r="O105" s="8"/>
      <c r="P105" s="8"/>
    </row>
    <row r="106" spans="1:16" x14ac:dyDescent="0.4">
      <c r="A106" s="8"/>
      <c r="B106" s="35"/>
      <c r="C106" s="35"/>
      <c r="D106" s="35"/>
      <c r="E106" s="35"/>
      <c r="F106" s="35"/>
      <c r="G106" s="35"/>
      <c r="H106" s="8"/>
      <c r="I106" s="35"/>
      <c r="J106" s="8"/>
      <c r="K106" s="8"/>
      <c r="L106" s="8"/>
      <c r="M106" s="8"/>
      <c r="N106" s="8"/>
      <c r="O106" s="8"/>
      <c r="P106" s="8"/>
    </row>
    <row r="107" spans="1:16" x14ac:dyDescent="0.4">
      <c r="A107" s="8"/>
      <c r="B107" s="35"/>
      <c r="C107" s="35"/>
      <c r="D107" s="35"/>
      <c r="E107" s="35"/>
      <c r="F107" s="35"/>
      <c r="G107" s="35"/>
      <c r="H107" s="8"/>
      <c r="I107" s="35"/>
      <c r="J107" s="8"/>
      <c r="K107" s="8"/>
      <c r="L107" s="8"/>
      <c r="M107" s="8"/>
      <c r="N107" s="8"/>
      <c r="O107" s="8"/>
      <c r="P107" s="8"/>
    </row>
    <row r="108" spans="1:16" x14ac:dyDescent="0.4">
      <c r="A108" s="8"/>
      <c r="B108" s="35"/>
      <c r="C108" s="35"/>
      <c r="D108" s="35"/>
      <c r="E108" s="35"/>
      <c r="F108" s="35"/>
      <c r="G108" s="35"/>
      <c r="H108" s="8"/>
      <c r="I108" s="35"/>
      <c r="J108" s="8"/>
      <c r="K108" s="8"/>
      <c r="L108" s="8"/>
      <c r="M108" s="8"/>
      <c r="N108" s="8"/>
      <c r="O108" s="8"/>
      <c r="P108" s="8"/>
    </row>
    <row r="109" spans="1:16" x14ac:dyDescent="0.4">
      <c r="A109" s="8"/>
      <c r="B109" s="35"/>
      <c r="C109" s="35"/>
      <c r="D109" s="35"/>
      <c r="E109" s="35"/>
      <c r="F109" s="35"/>
      <c r="G109" s="35"/>
      <c r="H109" s="8"/>
      <c r="I109" s="35"/>
      <c r="J109" s="8"/>
      <c r="K109" s="8"/>
      <c r="L109" s="8"/>
      <c r="M109" s="8"/>
      <c r="N109" s="8"/>
      <c r="O109" s="8"/>
      <c r="P109" s="8"/>
    </row>
    <row r="110" spans="1:16" x14ac:dyDescent="0.4">
      <c r="A110" s="8"/>
      <c r="B110" s="35"/>
      <c r="C110" s="35"/>
      <c r="D110" s="35"/>
      <c r="E110" s="35"/>
      <c r="F110" s="35"/>
      <c r="G110" s="35"/>
      <c r="H110" s="8"/>
      <c r="I110" s="35"/>
      <c r="J110" s="8"/>
      <c r="K110" s="8"/>
      <c r="L110" s="8"/>
      <c r="M110" s="8"/>
      <c r="N110" s="8"/>
      <c r="O110" s="8"/>
      <c r="P110" s="8"/>
    </row>
    <row r="111" spans="1:16" x14ac:dyDescent="0.4">
      <c r="A111" s="8"/>
      <c r="B111" s="35"/>
      <c r="C111" s="35"/>
      <c r="D111" s="35"/>
      <c r="E111" s="35"/>
      <c r="F111" s="35"/>
      <c r="G111" s="35"/>
      <c r="H111" s="8"/>
      <c r="I111" s="35"/>
      <c r="J111" s="8"/>
      <c r="K111" s="8"/>
      <c r="L111" s="8"/>
      <c r="M111" s="8"/>
      <c r="N111" s="8"/>
      <c r="O111" s="8"/>
      <c r="P111" s="8"/>
    </row>
    <row r="112" spans="1:16" x14ac:dyDescent="0.4">
      <c r="A112" s="8"/>
      <c r="B112" s="35"/>
      <c r="C112" s="35"/>
      <c r="D112" s="35"/>
      <c r="E112" s="35"/>
      <c r="F112" s="35"/>
      <c r="G112" s="35"/>
      <c r="H112" s="8"/>
      <c r="I112" s="35"/>
      <c r="J112" s="8"/>
      <c r="K112" s="8"/>
      <c r="L112" s="8"/>
      <c r="M112" s="8"/>
      <c r="N112" s="8"/>
      <c r="O112" s="8"/>
      <c r="P112" s="8"/>
    </row>
    <row r="113" spans="1:16" x14ac:dyDescent="0.4">
      <c r="A113" s="8"/>
      <c r="B113" s="35"/>
      <c r="C113" s="35"/>
      <c r="D113" s="35"/>
      <c r="E113" s="35"/>
      <c r="F113" s="35"/>
      <c r="G113" s="35"/>
      <c r="H113" s="8"/>
      <c r="I113" s="35"/>
      <c r="J113" s="8"/>
      <c r="K113" s="8"/>
      <c r="L113" s="8"/>
      <c r="M113" s="8"/>
      <c r="N113" s="8"/>
      <c r="O113" s="8"/>
      <c r="P113" s="8"/>
    </row>
    <row r="114" spans="1:16" x14ac:dyDescent="0.4">
      <c r="A114" s="8"/>
      <c r="B114" s="35"/>
      <c r="C114" s="35"/>
      <c r="D114" s="35"/>
      <c r="E114" s="35"/>
      <c r="F114" s="35"/>
      <c r="G114" s="35"/>
      <c r="H114" s="8"/>
      <c r="I114" s="35"/>
      <c r="J114" s="8"/>
      <c r="K114" s="8"/>
      <c r="L114" s="8"/>
      <c r="M114" s="8"/>
      <c r="N114" s="8"/>
      <c r="O114" s="8"/>
      <c r="P114" s="8"/>
    </row>
    <row r="115" spans="1:16" x14ac:dyDescent="0.4">
      <c r="A115" s="8"/>
      <c r="B115" s="35"/>
      <c r="C115" s="35"/>
      <c r="D115" s="35"/>
      <c r="E115" s="35"/>
      <c r="F115" s="35"/>
      <c r="G115" s="35"/>
      <c r="H115" s="8"/>
      <c r="I115" s="35"/>
      <c r="J115" s="8"/>
      <c r="K115" s="8"/>
      <c r="L115" s="8"/>
      <c r="M115" s="8"/>
      <c r="N115" s="8"/>
      <c r="O115" s="8"/>
      <c r="P115" s="8"/>
    </row>
    <row r="116" spans="1:16" x14ac:dyDescent="0.4">
      <c r="A116" s="8"/>
      <c r="B116" s="35"/>
      <c r="C116" s="35"/>
      <c r="D116" s="35"/>
      <c r="E116" s="35"/>
      <c r="F116" s="35"/>
      <c r="G116" s="35"/>
      <c r="H116" s="8"/>
      <c r="I116" s="35"/>
      <c r="J116" s="8"/>
      <c r="K116" s="8"/>
      <c r="L116" s="8"/>
      <c r="M116" s="8"/>
      <c r="N116" s="8"/>
      <c r="O116" s="8"/>
      <c r="P116" s="8"/>
    </row>
    <row r="117" spans="1:16" x14ac:dyDescent="0.4">
      <c r="A117" s="8"/>
      <c r="B117" s="35"/>
      <c r="C117" s="35"/>
      <c r="D117" s="35"/>
      <c r="E117" s="35"/>
      <c r="F117" s="35"/>
      <c r="G117" s="35"/>
      <c r="H117" s="8"/>
      <c r="I117" s="35"/>
      <c r="J117" s="8"/>
      <c r="K117" s="8"/>
      <c r="L117" s="8"/>
      <c r="M117" s="8"/>
      <c r="N117" s="8"/>
      <c r="O117" s="8"/>
      <c r="P117" s="8"/>
    </row>
    <row r="118" spans="1:16" x14ac:dyDescent="0.4">
      <c r="A118" s="8"/>
      <c r="B118" s="35"/>
      <c r="C118" s="35"/>
      <c r="D118" s="35"/>
      <c r="E118" s="35"/>
      <c r="F118" s="35"/>
      <c r="G118" s="35"/>
      <c r="H118" s="8"/>
      <c r="I118" s="35"/>
      <c r="J118" s="8"/>
      <c r="K118" s="8"/>
      <c r="L118" s="8"/>
      <c r="M118" s="8"/>
      <c r="N118" s="8"/>
      <c r="O118" s="8"/>
      <c r="P118" s="8"/>
    </row>
    <row r="119" spans="1:16" x14ac:dyDescent="0.4">
      <c r="A119" s="8"/>
      <c r="B119" s="35"/>
      <c r="C119" s="35"/>
      <c r="D119" s="35"/>
      <c r="E119" s="35"/>
      <c r="F119" s="35"/>
      <c r="G119" s="35"/>
      <c r="H119" s="8"/>
      <c r="I119" s="35"/>
      <c r="J119" s="8"/>
      <c r="K119" s="8"/>
      <c r="L119" s="8"/>
      <c r="M119" s="8"/>
      <c r="N119" s="8"/>
      <c r="O119" s="8"/>
      <c r="P119" s="8"/>
    </row>
    <row r="120" spans="1:16" x14ac:dyDescent="0.4">
      <c r="A120" s="8"/>
      <c r="B120" s="35"/>
      <c r="C120" s="35"/>
      <c r="D120" s="35"/>
      <c r="E120" s="35"/>
      <c r="F120" s="35"/>
      <c r="G120" s="35"/>
      <c r="H120" s="8"/>
      <c r="I120" s="35"/>
      <c r="J120" s="8"/>
      <c r="K120" s="8"/>
      <c r="L120" s="8"/>
      <c r="M120" s="8"/>
      <c r="N120" s="8"/>
      <c r="O120" s="8"/>
      <c r="P120" s="8"/>
    </row>
    <row r="121" spans="1:16" x14ac:dyDescent="0.4">
      <c r="A121" s="8"/>
      <c r="B121" s="35"/>
      <c r="C121" s="35"/>
      <c r="D121" s="35"/>
      <c r="E121" s="35"/>
      <c r="F121" s="35"/>
      <c r="G121" s="35"/>
      <c r="H121" s="8"/>
      <c r="I121" s="35"/>
      <c r="J121" s="8"/>
      <c r="K121" s="8"/>
      <c r="L121" s="8"/>
      <c r="M121" s="8"/>
      <c r="N121" s="8"/>
      <c r="O121" s="8"/>
      <c r="P121" s="8"/>
    </row>
    <row r="122" spans="1:16" x14ac:dyDescent="0.4">
      <c r="A122" s="8"/>
      <c r="B122" s="35"/>
      <c r="C122" s="35"/>
      <c r="D122" s="35"/>
      <c r="E122" s="35"/>
      <c r="F122" s="35"/>
      <c r="G122" s="35"/>
      <c r="H122" s="8"/>
      <c r="I122" s="35"/>
      <c r="J122" s="8"/>
      <c r="K122" s="8"/>
      <c r="L122" s="8"/>
      <c r="M122" s="8"/>
      <c r="N122" s="8"/>
      <c r="O122" s="8"/>
      <c r="P122" s="8"/>
    </row>
    <row r="123" spans="1:16" x14ac:dyDescent="0.4">
      <c r="A123" s="8"/>
      <c r="B123" s="35"/>
      <c r="C123" s="35"/>
      <c r="D123" s="35"/>
      <c r="E123" s="35"/>
      <c r="F123" s="35"/>
      <c r="G123" s="35"/>
      <c r="H123" s="8"/>
      <c r="I123" s="35"/>
      <c r="J123" s="8"/>
      <c r="K123" s="8"/>
      <c r="L123" s="8"/>
      <c r="M123" s="8"/>
      <c r="N123" s="8"/>
      <c r="O123" s="8"/>
      <c r="P123" s="8"/>
    </row>
    <row r="124" spans="1:16" x14ac:dyDescent="0.4">
      <c r="A124" s="8"/>
      <c r="B124" s="35"/>
      <c r="C124" s="35"/>
      <c r="D124" s="35"/>
      <c r="E124" s="35"/>
      <c r="F124" s="35"/>
      <c r="G124" s="35"/>
      <c r="H124" s="8"/>
      <c r="I124" s="35"/>
      <c r="J124" s="8"/>
      <c r="K124" s="8"/>
      <c r="L124" s="8"/>
      <c r="M124" s="8"/>
      <c r="N124" s="8"/>
      <c r="O124" s="8"/>
      <c r="P124" s="8"/>
    </row>
    <row r="125" spans="1:16" x14ac:dyDescent="0.4">
      <c r="A125" s="8"/>
      <c r="B125" s="35"/>
      <c r="C125" s="35"/>
      <c r="D125" s="35"/>
      <c r="E125" s="35"/>
      <c r="F125" s="35"/>
      <c r="G125" s="35"/>
      <c r="H125" s="8"/>
      <c r="I125" s="35"/>
      <c r="J125" s="8"/>
      <c r="K125" s="8"/>
      <c r="L125" s="8"/>
      <c r="M125" s="8"/>
      <c r="N125" s="8"/>
      <c r="O125" s="8"/>
      <c r="P125" s="8"/>
    </row>
    <row r="126" spans="1:16" x14ac:dyDescent="0.4">
      <c r="A126" s="8"/>
      <c r="B126" s="35"/>
      <c r="C126" s="35"/>
      <c r="D126" s="35"/>
      <c r="E126" s="35"/>
      <c r="F126" s="35"/>
      <c r="G126" s="35"/>
      <c r="H126" s="8"/>
      <c r="I126" s="35"/>
      <c r="J126" s="8"/>
      <c r="K126" s="8"/>
      <c r="L126" s="8"/>
      <c r="M126" s="8"/>
      <c r="N126" s="8"/>
      <c r="O126" s="8"/>
      <c r="P126" s="8"/>
    </row>
    <row r="127" spans="1:16" x14ac:dyDescent="0.4">
      <c r="A127" s="8"/>
      <c r="B127" s="35"/>
      <c r="C127" s="35"/>
      <c r="D127" s="35"/>
      <c r="E127" s="35"/>
      <c r="F127" s="35"/>
      <c r="G127" s="35"/>
      <c r="H127" s="8"/>
      <c r="I127" s="35"/>
      <c r="J127" s="8"/>
      <c r="K127" s="8"/>
      <c r="L127" s="8"/>
      <c r="M127" s="8"/>
      <c r="N127" s="8"/>
      <c r="O127" s="8"/>
      <c r="P127" s="8"/>
    </row>
    <row r="128" spans="1:16" x14ac:dyDescent="0.4">
      <c r="A128" s="8"/>
      <c r="B128" s="35"/>
      <c r="C128" s="35"/>
      <c r="D128" s="35"/>
      <c r="E128" s="35"/>
      <c r="F128" s="35"/>
      <c r="G128" s="35"/>
      <c r="H128" s="8"/>
      <c r="I128" s="35"/>
      <c r="J128" s="8"/>
      <c r="K128" s="8"/>
      <c r="L128" s="8"/>
      <c r="M128" s="8"/>
      <c r="N128" s="8"/>
      <c r="O128" s="8"/>
      <c r="P128" s="8"/>
    </row>
    <row r="129" spans="1:16" x14ac:dyDescent="0.4">
      <c r="A129" s="8"/>
      <c r="B129" s="35"/>
      <c r="C129" s="35"/>
      <c r="D129" s="35"/>
      <c r="E129" s="35"/>
      <c r="F129" s="35"/>
      <c r="G129" s="35"/>
      <c r="H129" s="8"/>
      <c r="I129" s="35"/>
      <c r="J129" s="8"/>
      <c r="K129" s="8"/>
      <c r="L129" s="8"/>
      <c r="M129" s="8"/>
      <c r="N129" s="8"/>
      <c r="O129" s="8"/>
      <c r="P129" s="8"/>
    </row>
    <row r="130" spans="1:16" x14ac:dyDescent="0.4">
      <c r="A130" s="8"/>
      <c r="B130" s="35"/>
      <c r="C130" s="35"/>
      <c r="D130" s="35"/>
      <c r="E130" s="35"/>
      <c r="F130" s="35"/>
      <c r="G130" s="35"/>
      <c r="H130" s="8"/>
      <c r="I130" s="35"/>
      <c r="J130" s="8"/>
      <c r="K130" s="8"/>
      <c r="L130" s="8"/>
      <c r="M130" s="8"/>
      <c r="N130" s="8"/>
      <c r="O130" s="8"/>
      <c r="P130" s="8"/>
    </row>
    <row r="131" spans="1:16" x14ac:dyDescent="0.4">
      <c r="A131" s="8"/>
      <c r="B131" s="35"/>
      <c r="C131" s="35"/>
      <c r="D131" s="35"/>
      <c r="E131" s="35"/>
      <c r="F131" s="35"/>
      <c r="G131" s="35"/>
      <c r="H131" s="8"/>
      <c r="I131" s="35"/>
      <c r="J131" s="8"/>
      <c r="K131" s="8"/>
      <c r="L131" s="8"/>
      <c r="M131" s="8"/>
      <c r="N131" s="8"/>
      <c r="O131" s="8"/>
      <c r="P131" s="8"/>
    </row>
    <row r="132" spans="1:16" x14ac:dyDescent="0.4">
      <c r="A132" s="8"/>
      <c r="B132" s="35"/>
      <c r="C132" s="35"/>
      <c r="D132" s="35"/>
      <c r="E132" s="35"/>
      <c r="F132" s="35"/>
      <c r="G132" s="35"/>
      <c r="H132" s="8"/>
      <c r="I132" s="35"/>
      <c r="J132" s="8"/>
      <c r="K132" s="8"/>
      <c r="L132" s="8"/>
      <c r="M132" s="8"/>
      <c r="N132" s="8"/>
      <c r="O132" s="8"/>
      <c r="P132" s="8"/>
    </row>
    <row r="133" spans="1:16" x14ac:dyDescent="0.4">
      <c r="A133" s="8"/>
      <c r="B133" s="35"/>
      <c r="C133" s="35"/>
      <c r="D133" s="35"/>
      <c r="E133" s="35"/>
      <c r="F133" s="35"/>
      <c r="G133" s="35"/>
      <c r="H133" s="8"/>
      <c r="I133" s="35"/>
      <c r="J133" s="8"/>
      <c r="K133" s="8"/>
      <c r="L133" s="8"/>
      <c r="M133" s="8"/>
      <c r="N133" s="8"/>
      <c r="O133" s="8"/>
      <c r="P133" s="8"/>
    </row>
    <row r="134" spans="1:16" x14ac:dyDescent="0.4">
      <c r="A134" s="8"/>
      <c r="B134" s="35"/>
      <c r="C134" s="35"/>
      <c r="D134" s="35"/>
      <c r="E134" s="35"/>
      <c r="F134" s="35"/>
      <c r="G134" s="35"/>
      <c r="H134" s="8"/>
      <c r="I134" s="35"/>
      <c r="J134" s="8"/>
      <c r="K134" s="8"/>
      <c r="L134" s="8"/>
      <c r="M134" s="8"/>
      <c r="N134" s="8"/>
      <c r="O134" s="8"/>
      <c r="P134" s="8"/>
    </row>
    <row r="135" spans="1:16" x14ac:dyDescent="0.4">
      <c r="A135" s="8"/>
      <c r="B135" s="35"/>
      <c r="C135" s="35"/>
      <c r="D135" s="35"/>
      <c r="E135" s="35"/>
      <c r="F135" s="35"/>
      <c r="G135" s="35"/>
      <c r="H135" s="8"/>
      <c r="I135" s="35"/>
      <c r="J135" s="8"/>
      <c r="K135" s="8"/>
      <c r="L135" s="8"/>
      <c r="M135" s="8"/>
      <c r="N135" s="8"/>
      <c r="O135" s="8"/>
      <c r="P135" s="8"/>
    </row>
    <row r="136" spans="1:16" x14ac:dyDescent="0.4">
      <c r="A136" s="8"/>
      <c r="B136" s="35"/>
      <c r="C136" s="35"/>
      <c r="D136" s="35"/>
      <c r="E136" s="35"/>
      <c r="F136" s="35"/>
      <c r="G136" s="35"/>
      <c r="H136" s="8"/>
      <c r="I136" s="35"/>
      <c r="J136" s="8"/>
      <c r="K136" s="8"/>
      <c r="L136" s="8"/>
      <c r="M136" s="8"/>
      <c r="N136" s="8"/>
      <c r="O136" s="8"/>
      <c r="P136" s="8"/>
    </row>
    <row r="137" spans="1:16" x14ac:dyDescent="0.4">
      <c r="A137" s="8"/>
      <c r="B137" s="35"/>
      <c r="C137" s="35"/>
      <c r="D137" s="35"/>
      <c r="E137" s="35"/>
      <c r="F137" s="35"/>
      <c r="G137" s="35"/>
      <c r="H137" s="8"/>
      <c r="I137" s="35"/>
      <c r="J137" s="8"/>
      <c r="K137" s="8"/>
      <c r="L137" s="8"/>
      <c r="M137" s="8"/>
      <c r="N137" s="8"/>
      <c r="O137" s="8"/>
      <c r="P137" s="8"/>
    </row>
    <row r="138" spans="1:16" x14ac:dyDescent="0.4">
      <c r="A138" s="8"/>
      <c r="B138" s="35"/>
      <c r="C138" s="35"/>
      <c r="D138" s="35"/>
      <c r="E138" s="35"/>
      <c r="F138" s="35"/>
      <c r="G138" s="35"/>
      <c r="H138" s="8"/>
      <c r="I138" s="35"/>
      <c r="J138" s="8"/>
      <c r="K138" s="8"/>
      <c r="L138" s="8"/>
      <c r="M138" s="8"/>
      <c r="N138" s="8"/>
      <c r="O138" s="8"/>
      <c r="P138" s="8"/>
    </row>
    <row r="139" spans="1:16" x14ac:dyDescent="0.4">
      <c r="A139" s="8"/>
      <c r="B139" s="35"/>
      <c r="C139" s="35"/>
      <c r="D139" s="35"/>
      <c r="E139" s="35"/>
      <c r="F139" s="35"/>
      <c r="G139" s="35"/>
      <c r="H139" s="8"/>
      <c r="I139" s="35"/>
      <c r="J139" s="8"/>
      <c r="K139" s="8"/>
      <c r="L139" s="8"/>
      <c r="M139" s="8"/>
      <c r="N139" s="8"/>
      <c r="O139" s="8"/>
      <c r="P139" s="8"/>
    </row>
    <row r="140" spans="1:16" x14ac:dyDescent="0.4">
      <c r="A140" s="8"/>
      <c r="B140" s="35"/>
      <c r="C140" s="35"/>
      <c r="D140" s="35"/>
      <c r="E140" s="35"/>
      <c r="F140" s="35"/>
      <c r="G140" s="35"/>
      <c r="H140" s="8"/>
      <c r="I140" s="35"/>
      <c r="J140" s="8"/>
      <c r="K140" s="8"/>
      <c r="L140" s="8"/>
      <c r="M140" s="8"/>
      <c r="N140" s="8"/>
      <c r="O140" s="8"/>
      <c r="P140" s="8"/>
    </row>
    <row r="141" spans="1:16" x14ac:dyDescent="0.4">
      <c r="A141" s="8"/>
      <c r="B141" s="35"/>
      <c r="C141" s="35"/>
      <c r="D141" s="35"/>
      <c r="E141" s="35"/>
      <c r="F141" s="35"/>
      <c r="G141" s="35"/>
      <c r="H141" s="8"/>
      <c r="I141" s="35"/>
      <c r="J141" s="8"/>
      <c r="K141" s="8"/>
      <c r="L141" s="8"/>
      <c r="M141" s="8"/>
      <c r="N141" s="8"/>
      <c r="O141" s="8"/>
      <c r="P141" s="8"/>
    </row>
    <row r="142" spans="1:16" x14ac:dyDescent="0.4">
      <c r="A142" s="8"/>
      <c r="B142" s="35"/>
      <c r="C142" s="35"/>
      <c r="D142" s="35"/>
      <c r="E142" s="35"/>
      <c r="F142" s="35"/>
      <c r="G142" s="35"/>
      <c r="H142" s="8"/>
      <c r="I142" s="35"/>
      <c r="J142" s="8"/>
      <c r="K142" s="8"/>
      <c r="L142" s="8"/>
      <c r="M142" s="8"/>
      <c r="N142" s="8"/>
      <c r="O142" s="8"/>
      <c r="P142" s="8"/>
    </row>
    <row r="143" spans="1:16" x14ac:dyDescent="0.4">
      <c r="A143" s="8"/>
      <c r="B143" s="35"/>
      <c r="C143" s="35"/>
      <c r="D143" s="35"/>
      <c r="E143" s="35"/>
      <c r="F143" s="35"/>
      <c r="G143" s="35"/>
      <c r="H143" s="8"/>
      <c r="I143" s="35"/>
      <c r="J143" s="8"/>
      <c r="K143" s="8"/>
      <c r="L143" s="8"/>
      <c r="M143" s="8"/>
      <c r="N143" s="8"/>
      <c r="O143" s="8"/>
      <c r="P143" s="8"/>
    </row>
    <row r="144" spans="1:16" x14ac:dyDescent="0.4">
      <c r="A144" s="8"/>
      <c r="B144" s="35"/>
      <c r="C144" s="35"/>
      <c r="D144" s="35"/>
      <c r="E144" s="35"/>
      <c r="F144" s="35"/>
      <c r="G144" s="35"/>
      <c r="H144" s="8"/>
      <c r="I144" s="35"/>
      <c r="J144" s="8"/>
      <c r="K144" s="8"/>
      <c r="L144" s="8"/>
      <c r="M144" s="8"/>
      <c r="N144" s="8"/>
      <c r="O144" s="8"/>
      <c r="P144" s="8"/>
    </row>
    <row r="145" spans="1:16" x14ac:dyDescent="0.4">
      <c r="A145" s="8"/>
      <c r="B145" s="35"/>
      <c r="C145" s="35"/>
      <c r="D145" s="35"/>
      <c r="E145" s="35"/>
      <c r="F145" s="35"/>
      <c r="G145" s="35"/>
      <c r="H145" s="8"/>
      <c r="I145" s="35"/>
      <c r="J145" s="8"/>
      <c r="K145" s="8"/>
      <c r="L145" s="8"/>
      <c r="M145" s="8"/>
      <c r="N145" s="8"/>
      <c r="O145" s="8"/>
      <c r="P145" s="8"/>
    </row>
    <row r="146" spans="1:16" x14ac:dyDescent="0.4">
      <c r="A146" s="8"/>
      <c r="B146" s="35"/>
      <c r="C146" s="35"/>
      <c r="D146" s="35"/>
      <c r="E146" s="35"/>
      <c r="F146" s="35"/>
      <c r="G146" s="35"/>
      <c r="H146" s="8"/>
      <c r="I146" s="35"/>
      <c r="J146" s="8"/>
      <c r="K146" s="8"/>
      <c r="L146" s="8"/>
      <c r="M146" s="8"/>
      <c r="N146" s="8"/>
      <c r="O146" s="8"/>
      <c r="P146" s="8"/>
    </row>
    <row r="147" spans="1:16" x14ac:dyDescent="0.4">
      <c r="A147" s="8"/>
      <c r="B147" s="35"/>
      <c r="C147" s="35"/>
      <c r="D147" s="35"/>
      <c r="E147" s="35"/>
      <c r="F147" s="35"/>
      <c r="G147" s="35"/>
      <c r="H147" s="8"/>
      <c r="I147" s="35"/>
      <c r="J147" s="8"/>
      <c r="K147" s="8"/>
      <c r="L147" s="8"/>
      <c r="M147" s="8"/>
      <c r="N147" s="8"/>
      <c r="O147" s="8"/>
      <c r="P147" s="8"/>
    </row>
    <row r="148" spans="1:16" x14ac:dyDescent="0.4">
      <c r="A148" s="8"/>
      <c r="B148" s="35"/>
      <c r="C148" s="35"/>
      <c r="D148" s="35"/>
      <c r="E148" s="35"/>
      <c r="F148" s="35"/>
      <c r="G148" s="35"/>
      <c r="H148" s="8"/>
      <c r="I148" s="35"/>
      <c r="J148" s="8"/>
      <c r="K148" s="8"/>
      <c r="L148" s="8"/>
      <c r="M148" s="8"/>
      <c r="N148" s="8"/>
      <c r="O148" s="8"/>
      <c r="P148" s="8"/>
    </row>
    <row r="149" spans="1:16" x14ac:dyDescent="0.4">
      <c r="A149" s="8"/>
      <c r="B149" s="35"/>
      <c r="C149" s="35"/>
      <c r="D149" s="35"/>
      <c r="E149" s="35"/>
      <c r="F149" s="35"/>
      <c r="G149" s="35"/>
      <c r="H149" s="8"/>
      <c r="I149" s="35"/>
      <c r="J149" s="8"/>
      <c r="K149" s="8"/>
      <c r="L149" s="8"/>
      <c r="M149" s="8"/>
      <c r="N149" s="8"/>
      <c r="O149" s="8"/>
      <c r="P149" s="8"/>
    </row>
    <row r="150" spans="1:16" x14ac:dyDescent="0.4">
      <c r="A150" s="8"/>
      <c r="B150" s="35"/>
      <c r="C150" s="35"/>
      <c r="D150" s="35"/>
      <c r="E150" s="35"/>
      <c r="F150" s="35"/>
      <c r="G150" s="35"/>
      <c r="H150" s="8"/>
      <c r="I150" s="35"/>
      <c r="J150" s="8"/>
      <c r="K150" s="8"/>
      <c r="L150" s="8"/>
      <c r="M150" s="8"/>
      <c r="N150" s="8"/>
      <c r="O150" s="8"/>
      <c r="P150" s="8"/>
    </row>
    <row r="151" spans="1:16" x14ac:dyDescent="0.4">
      <c r="A151" s="8"/>
      <c r="B151" s="35"/>
      <c r="C151" s="35"/>
      <c r="D151" s="35"/>
      <c r="E151" s="35"/>
      <c r="F151" s="35"/>
      <c r="G151" s="35"/>
      <c r="H151" s="8"/>
      <c r="I151" s="35"/>
      <c r="J151" s="8"/>
      <c r="K151" s="8"/>
      <c r="L151" s="8"/>
      <c r="M151" s="8"/>
      <c r="N151" s="8"/>
      <c r="O151" s="8"/>
      <c r="P151" s="8"/>
    </row>
    <row r="152" spans="1:16" x14ac:dyDescent="0.4">
      <c r="A152" s="8"/>
      <c r="B152" s="35"/>
      <c r="C152" s="35"/>
      <c r="D152" s="35"/>
      <c r="E152" s="35"/>
      <c r="F152" s="35"/>
      <c r="G152" s="35"/>
      <c r="H152" s="8"/>
      <c r="I152" s="35"/>
      <c r="J152" s="8"/>
      <c r="K152" s="8"/>
      <c r="L152" s="8"/>
      <c r="M152" s="8"/>
      <c r="N152" s="8"/>
      <c r="O152" s="8"/>
      <c r="P152" s="8"/>
    </row>
    <row r="153" spans="1:16" x14ac:dyDescent="0.4">
      <c r="A153" s="8"/>
      <c r="B153" s="35"/>
      <c r="C153" s="35"/>
      <c r="D153" s="35"/>
      <c r="E153" s="35"/>
      <c r="F153" s="35"/>
      <c r="G153" s="35"/>
      <c r="H153" s="8"/>
      <c r="I153" s="35"/>
      <c r="J153" s="8"/>
      <c r="K153" s="8"/>
      <c r="L153" s="8"/>
      <c r="M153" s="8"/>
      <c r="N153" s="8"/>
      <c r="O153" s="8"/>
      <c r="P153" s="8"/>
    </row>
    <row r="154" spans="1:16" x14ac:dyDescent="0.4">
      <c r="A154" s="8"/>
      <c r="B154" s="35"/>
      <c r="C154" s="35"/>
      <c r="D154" s="35"/>
      <c r="E154" s="35"/>
      <c r="F154" s="35"/>
      <c r="G154" s="35"/>
      <c r="H154" s="8"/>
      <c r="I154" s="35"/>
      <c r="J154" s="8"/>
      <c r="K154" s="8"/>
      <c r="L154" s="8"/>
      <c r="M154" s="8"/>
      <c r="N154" s="8"/>
      <c r="O154" s="8"/>
      <c r="P154" s="8"/>
    </row>
    <row r="155" spans="1:16" x14ac:dyDescent="0.4">
      <c r="A155" s="8"/>
      <c r="B155" s="35"/>
      <c r="C155" s="35"/>
      <c r="D155" s="35"/>
      <c r="E155" s="35"/>
      <c r="F155" s="35"/>
      <c r="G155" s="35"/>
      <c r="H155" s="8"/>
      <c r="I155" s="35"/>
      <c r="J155" s="8"/>
      <c r="K155" s="8"/>
      <c r="L155" s="8"/>
      <c r="M155" s="8"/>
      <c r="N155" s="8"/>
      <c r="O155" s="8"/>
      <c r="P155" s="8"/>
    </row>
    <row r="156" spans="1:16" x14ac:dyDescent="0.4">
      <c r="A156" s="8"/>
      <c r="B156" s="35"/>
      <c r="C156" s="35"/>
      <c r="D156" s="35"/>
      <c r="E156" s="35"/>
      <c r="F156" s="35"/>
      <c r="G156" s="35"/>
      <c r="H156" s="8"/>
      <c r="I156" s="35"/>
      <c r="J156" s="8"/>
      <c r="K156" s="8"/>
      <c r="L156" s="8"/>
      <c r="M156" s="8"/>
      <c r="N156" s="8"/>
      <c r="O156" s="8"/>
      <c r="P156" s="8"/>
    </row>
    <row r="157" spans="1:16" x14ac:dyDescent="0.4">
      <c r="A157" s="8"/>
      <c r="B157" s="35"/>
      <c r="C157" s="35"/>
      <c r="D157" s="35"/>
      <c r="E157" s="35"/>
      <c r="F157" s="35"/>
      <c r="G157" s="35"/>
      <c r="H157" s="8"/>
      <c r="I157" s="35"/>
      <c r="J157" s="8"/>
      <c r="K157" s="8"/>
      <c r="L157" s="8"/>
      <c r="M157" s="8"/>
      <c r="N157" s="8"/>
      <c r="O157" s="8"/>
      <c r="P157" s="8"/>
    </row>
    <row r="158" spans="1:16" x14ac:dyDescent="0.4">
      <c r="A158" s="8"/>
      <c r="B158" s="35"/>
      <c r="C158" s="35"/>
      <c r="D158" s="35"/>
      <c r="E158" s="35"/>
      <c r="F158" s="35"/>
      <c r="G158" s="35"/>
      <c r="H158" s="8"/>
      <c r="I158" s="35"/>
      <c r="J158" s="8"/>
      <c r="K158" s="8"/>
      <c r="L158" s="8"/>
      <c r="M158" s="8"/>
      <c r="N158" s="8"/>
      <c r="O158" s="8"/>
      <c r="P158" s="8"/>
    </row>
    <row r="159" spans="1:16" x14ac:dyDescent="0.4">
      <c r="A159" s="8"/>
      <c r="B159" s="35"/>
      <c r="C159" s="35"/>
      <c r="D159" s="35"/>
      <c r="E159" s="35"/>
      <c r="F159" s="35"/>
      <c r="G159" s="35"/>
      <c r="H159" s="8"/>
      <c r="I159" s="35"/>
      <c r="J159" s="8"/>
      <c r="K159" s="8"/>
      <c r="L159" s="8"/>
      <c r="M159" s="8"/>
      <c r="N159" s="8"/>
      <c r="O159" s="8"/>
      <c r="P159" s="8"/>
    </row>
    <row r="160" spans="1:16" x14ac:dyDescent="0.4">
      <c r="A160" s="8"/>
      <c r="B160" s="35"/>
      <c r="C160" s="35"/>
      <c r="D160" s="35"/>
      <c r="E160" s="35"/>
      <c r="F160" s="35"/>
      <c r="G160" s="35"/>
      <c r="H160" s="8"/>
      <c r="I160" s="35"/>
      <c r="J160" s="8"/>
      <c r="K160" s="8"/>
      <c r="L160" s="8"/>
      <c r="M160" s="8"/>
      <c r="N160" s="8"/>
      <c r="O160" s="8"/>
      <c r="P160" s="8"/>
    </row>
    <row r="161" spans="1:16" x14ac:dyDescent="0.4">
      <c r="A161" s="8"/>
      <c r="B161" s="35"/>
      <c r="C161" s="35"/>
      <c r="D161" s="35"/>
      <c r="E161" s="35"/>
      <c r="F161" s="35"/>
      <c r="G161" s="35"/>
      <c r="H161" s="8"/>
      <c r="I161" s="35"/>
      <c r="J161" s="8"/>
      <c r="K161" s="8"/>
      <c r="L161" s="8"/>
      <c r="M161" s="8"/>
      <c r="N161" s="8"/>
      <c r="O161" s="8"/>
      <c r="P161" s="8"/>
    </row>
    <row r="162" spans="1:16" x14ac:dyDescent="0.4">
      <c r="A162" s="8"/>
      <c r="B162" s="35"/>
      <c r="C162" s="35"/>
      <c r="D162" s="35"/>
      <c r="E162" s="35"/>
      <c r="F162" s="35"/>
      <c r="G162" s="35"/>
      <c r="H162" s="8"/>
      <c r="I162" s="35"/>
      <c r="J162" s="8"/>
      <c r="K162" s="8"/>
      <c r="L162" s="8"/>
      <c r="M162" s="8"/>
      <c r="N162" s="8"/>
      <c r="O162" s="8"/>
      <c r="P162" s="8"/>
    </row>
    <row r="163" spans="1:16" x14ac:dyDescent="0.4">
      <c r="A163" s="8"/>
      <c r="B163" s="35"/>
      <c r="C163" s="35"/>
      <c r="D163" s="35"/>
      <c r="E163" s="35"/>
      <c r="F163" s="35"/>
      <c r="G163" s="35"/>
      <c r="H163" s="8"/>
      <c r="I163" s="35"/>
      <c r="J163" s="8"/>
      <c r="K163" s="8"/>
      <c r="L163" s="8"/>
      <c r="M163" s="8"/>
      <c r="N163" s="8"/>
      <c r="O163" s="8"/>
      <c r="P163" s="8"/>
    </row>
    <row r="164" spans="1:16" x14ac:dyDescent="0.4">
      <c r="A164" s="8"/>
      <c r="B164" s="35"/>
      <c r="C164" s="35"/>
      <c r="D164" s="35"/>
      <c r="E164" s="35"/>
      <c r="F164" s="35"/>
      <c r="G164" s="35"/>
      <c r="H164" s="8"/>
      <c r="I164" s="35"/>
      <c r="J164" s="8"/>
      <c r="K164" s="8"/>
      <c r="L164" s="8"/>
      <c r="M164" s="8"/>
      <c r="N164" s="8"/>
      <c r="O164" s="8"/>
      <c r="P164" s="8"/>
    </row>
    <row r="165" spans="1:16" x14ac:dyDescent="0.4">
      <c r="A165" s="8"/>
      <c r="B165" s="35"/>
      <c r="C165" s="35"/>
      <c r="D165" s="35"/>
      <c r="E165" s="35"/>
      <c r="F165" s="35"/>
      <c r="G165" s="35"/>
      <c r="H165" s="8"/>
      <c r="I165" s="35"/>
      <c r="J165" s="8"/>
      <c r="K165" s="8"/>
      <c r="L165" s="8"/>
      <c r="M165" s="8"/>
      <c r="N165" s="8"/>
      <c r="O165" s="8"/>
      <c r="P165" s="8"/>
    </row>
    <row r="166" spans="1:16" x14ac:dyDescent="0.4">
      <c r="A166" s="8"/>
      <c r="B166" s="35"/>
      <c r="C166" s="35"/>
      <c r="D166" s="35"/>
      <c r="E166" s="35"/>
      <c r="F166" s="35"/>
      <c r="G166" s="35"/>
      <c r="H166" s="8"/>
      <c r="I166" s="35"/>
      <c r="J166" s="8"/>
      <c r="K166" s="8"/>
      <c r="L166" s="8"/>
      <c r="M166" s="8"/>
      <c r="N166" s="8"/>
      <c r="O166" s="8"/>
      <c r="P166" s="8"/>
    </row>
    <row r="167" spans="1:16" x14ac:dyDescent="0.4">
      <c r="A167" s="8"/>
      <c r="B167" s="35"/>
      <c r="C167" s="35"/>
      <c r="D167" s="35"/>
      <c r="E167" s="35"/>
      <c r="F167" s="35"/>
      <c r="G167" s="35"/>
      <c r="H167" s="8"/>
      <c r="I167" s="35"/>
      <c r="J167" s="8"/>
      <c r="K167" s="8"/>
      <c r="L167" s="8"/>
      <c r="M167" s="8"/>
      <c r="N167" s="8"/>
      <c r="O167" s="8"/>
      <c r="P167" s="8"/>
    </row>
    <row r="168" spans="1:16" x14ac:dyDescent="0.4">
      <c r="A168" s="8"/>
      <c r="B168" s="35"/>
      <c r="C168" s="35"/>
      <c r="D168" s="35"/>
      <c r="E168" s="35"/>
      <c r="F168" s="35"/>
      <c r="G168" s="35"/>
      <c r="H168" s="8"/>
      <c r="I168" s="35"/>
      <c r="J168" s="8"/>
      <c r="K168" s="8"/>
      <c r="L168" s="8"/>
      <c r="M168" s="8"/>
      <c r="N168" s="8"/>
      <c r="O168" s="8"/>
      <c r="P168" s="8"/>
    </row>
    <row r="169" spans="1:16" x14ac:dyDescent="0.4">
      <c r="A169" s="8"/>
      <c r="B169" s="35"/>
      <c r="C169" s="35"/>
      <c r="D169" s="35"/>
      <c r="E169" s="35"/>
      <c r="F169" s="35"/>
      <c r="G169" s="35"/>
      <c r="H169" s="8"/>
      <c r="I169" s="35"/>
      <c r="J169" s="8"/>
      <c r="K169" s="8"/>
      <c r="L169" s="8"/>
      <c r="M169" s="8"/>
      <c r="N169" s="8"/>
      <c r="O169" s="8"/>
      <c r="P169" s="8"/>
    </row>
    <row r="170" spans="1:16" x14ac:dyDescent="0.4">
      <c r="A170" s="8"/>
      <c r="B170" s="35"/>
      <c r="C170" s="35"/>
      <c r="D170" s="35"/>
      <c r="E170" s="35"/>
      <c r="F170" s="35"/>
      <c r="G170" s="35"/>
      <c r="H170" s="8"/>
      <c r="I170" s="35"/>
      <c r="J170" s="8"/>
      <c r="K170" s="8"/>
      <c r="L170" s="8"/>
      <c r="M170" s="8"/>
      <c r="N170" s="8"/>
      <c r="O170" s="8"/>
      <c r="P170" s="8"/>
    </row>
    <row r="171" spans="1:16" x14ac:dyDescent="0.4">
      <c r="A171" s="8"/>
      <c r="B171" s="35"/>
      <c r="C171" s="35"/>
      <c r="D171" s="35"/>
      <c r="E171" s="35"/>
      <c r="F171" s="35"/>
      <c r="G171" s="35"/>
      <c r="H171" s="8"/>
      <c r="I171" s="35"/>
      <c r="J171" s="8"/>
      <c r="K171" s="8"/>
      <c r="L171" s="8"/>
      <c r="M171" s="8"/>
      <c r="N171" s="8"/>
      <c r="O171" s="8"/>
      <c r="P171" s="8"/>
    </row>
    <row r="172" spans="1:16" x14ac:dyDescent="0.4">
      <c r="A172" s="8"/>
      <c r="B172" s="35"/>
      <c r="C172" s="35"/>
      <c r="D172" s="35"/>
      <c r="E172" s="35"/>
      <c r="F172" s="35"/>
      <c r="G172" s="35"/>
      <c r="H172" s="8"/>
      <c r="I172" s="35"/>
      <c r="J172" s="8"/>
      <c r="K172" s="8"/>
      <c r="L172" s="8"/>
      <c r="M172" s="8"/>
      <c r="N172" s="8"/>
      <c r="O172" s="8"/>
      <c r="P172" s="8"/>
    </row>
    <row r="173" spans="1:16" x14ac:dyDescent="0.4">
      <c r="A173" s="8"/>
      <c r="B173" s="35"/>
      <c r="C173" s="35"/>
      <c r="D173" s="35"/>
      <c r="E173" s="35"/>
      <c r="F173" s="35"/>
      <c r="G173" s="35"/>
      <c r="H173" s="8"/>
      <c r="I173" s="35"/>
      <c r="J173" s="8"/>
      <c r="K173" s="8"/>
      <c r="L173" s="8"/>
      <c r="M173" s="8"/>
      <c r="N173" s="8"/>
      <c r="O173" s="8"/>
      <c r="P173" s="8"/>
    </row>
    <row r="174" spans="1:16" x14ac:dyDescent="0.4">
      <c r="A174" s="8"/>
      <c r="B174" s="35"/>
      <c r="C174" s="35"/>
      <c r="D174" s="35"/>
      <c r="E174" s="35"/>
      <c r="F174" s="35"/>
      <c r="G174" s="35"/>
      <c r="H174" s="8"/>
      <c r="I174" s="35"/>
      <c r="J174" s="8"/>
      <c r="K174" s="8"/>
      <c r="L174" s="8"/>
      <c r="M174" s="8"/>
      <c r="N174" s="8"/>
      <c r="O174" s="8"/>
      <c r="P174" s="8"/>
    </row>
    <row r="175" spans="1:16" x14ac:dyDescent="0.4">
      <c r="A175" s="8"/>
      <c r="B175" s="35"/>
      <c r="C175" s="35"/>
      <c r="D175" s="35"/>
      <c r="E175" s="35"/>
      <c r="F175" s="35"/>
      <c r="G175" s="35"/>
      <c r="H175" s="8"/>
      <c r="I175" s="35"/>
      <c r="J175" s="8"/>
      <c r="K175" s="8"/>
      <c r="L175" s="8"/>
      <c r="M175" s="8"/>
      <c r="N175" s="8"/>
      <c r="O175" s="8"/>
      <c r="P175" s="8"/>
    </row>
    <row r="176" spans="1:16" x14ac:dyDescent="0.4">
      <c r="A176" s="8"/>
      <c r="B176" s="35"/>
      <c r="C176" s="35"/>
      <c r="D176" s="35"/>
      <c r="E176" s="35"/>
      <c r="F176" s="35"/>
      <c r="G176" s="35"/>
      <c r="H176" s="8"/>
      <c r="I176" s="35"/>
      <c r="J176" s="8"/>
      <c r="K176" s="8"/>
      <c r="L176" s="8"/>
      <c r="M176" s="8"/>
      <c r="N176" s="8"/>
      <c r="O176" s="8"/>
      <c r="P176" s="8"/>
    </row>
    <row r="177" spans="1:16" x14ac:dyDescent="0.4">
      <c r="A177" s="8"/>
      <c r="B177" s="35"/>
      <c r="C177" s="35"/>
      <c r="D177" s="35"/>
      <c r="E177" s="35"/>
      <c r="F177" s="35"/>
      <c r="G177" s="35"/>
      <c r="H177" s="8"/>
      <c r="I177" s="35"/>
      <c r="J177" s="8"/>
      <c r="K177" s="8"/>
      <c r="L177" s="8"/>
      <c r="M177" s="8"/>
      <c r="N177" s="8"/>
      <c r="O177" s="8"/>
      <c r="P177" s="8"/>
    </row>
    <row r="178" spans="1:16" x14ac:dyDescent="0.4">
      <c r="A178" s="8"/>
      <c r="B178" s="35"/>
      <c r="C178" s="35"/>
      <c r="D178" s="35"/>
      <c r="E178" s="35"/>
      <c r="F178" s="35"/>
      <c r="G178" s="35"/>
      <c r="H178" s="8"/>
      <c r="I178" s="35"/>
      <c r="J178" s="8"/>
      <c r="K178" s="8"/>
      <c r="L178" s="8"/>
      <c r="M178" s="8"/>
      <c r="N178" s="8"/>
      <c r="O178" s="8"/>
      <c r="P178" s="8"/>
    </row>
    <row r="179" spans="1:16" x14ac:dyDescent="0.4">
      <c r="A179" s="8"/>
      <c r="B179" s="35"/>
      <c r="C179" s="35"/>
      <c r="D179" s="35"/>
      <c r="E179" s="35"/>
      <c r="F179" s="35"/>
      <c r="G179" s="35"/>
      <c r="H179" s="8"/>
      <c r="I179" s="35"/>
      <c r="J179" s="8"/>
      <c r="K179" s="8"/>
      <c r="L179" s="8"/>
      <c r="M179" s="8"/>
      <c r="N179" s="8"/>
      <c r="O179" s="8"/>
      <c r="P179" s="8"/>
    </row>
    <row r="180" spans="1:16" x14ac:dyDescent="0.4">
      <c r="A180" s="8"/>
      <c r="B180" s="35"/>
      <c r="C180" s="35"/>
      <c r="D180" s="35"/>
      <c r="E180" s="35"/>
      <c r="F180" s="35"/>
      <c r="G180" s="35"/>
      <c r="H180" s="8"/>
      <c r="I180" s="35"/>
      <c r="J180" s="8"/>
      <c r="K180" s="8"/>
      <c r="L180" s="8"/>
      <c r="M180" s="8"/>
      <c r="N180" s="8"/>
      <c r="O180" s="8"/>
      <c r="P180" s="8"/>
    </row>
    <row r="181" spans="1:16" x14ac:dyDescent="0.4">
      <c r="A181" s="8"/>
      <c r="B181" s="35"/>
      <c r="C181" s="35"/>
      <c r="D181" s="35"/>
      <c r="E181" s="35"/>
      <c r="F181" s="35"/>
      <c r="G181" s="35"/>
      <c r="H181" s="8"/>
      <c r="I181" s="35"/>
      <c r="J181" s="8"/>
      <c r="K181" s="8"/>
      <c r="L181" s="8"/>
      <c r="M181" s="8"/>
      <c r="N181" s="8"/>
      <c r="O181" s="8"/>
      <c r="P181" s="8"/>
    </row>
    <row r="182" spans="1:16" x14ac:dyDescent="0.4">
      <c r="A182" s="8"/>
      <c r="B182" s="35"/>
      <c r="C182" s="35"/>
      <c r="D182" s="35"/>
      <c r="E182" s="35"/>
      <c r="F182" s="35"/>
      <c r="G182" s="35"/>
      <c r="H182" s="8"/>
      <c r="I182" s="35"/>
      <c r="J182" s="8"/>
      <c r="K182" s="8"/>
      <c r="L182" s="8"/>
      <c r="M182" s="8"/>
      <c r="N182" s="8"/>
      <c r="O182" s="8"/>
      <c r="P182" s="8"/>
    </row>
    <row r="183" spans="1:16" x14ac:dyDescent="0.4">
      <c r="A183" s="8"/>
      <c r="B183" s="35"/>
      <c r="C183" s="35"/>
      <c r="D183" s="35"/>
      <c r="E183" s="35"/>
      <c r="F183" s="35"/>
      <c r="G183" s="35"/>
      <c r="H183" s="8"/>
      <c r="I183" s="35"/>
      <c r="J183" s="8"/>
      <c r="K183" s="8"/>
      <c r="L183" s="8"/>
      <c r="M183" s="8"/>
      <c r="N183" s="8"/>
      <c r="O183" s="8"/>
      <c r="P183" s="8"/>
    </row>
    <row r="184" spans="1:16" x14ac:dyDescent="0.4">
      <c r="A184" s="8"/>
      <c r="B184" s="35"/>
      <c r="C184" s="35"/>
      <c r="D184" s="35"/>
      <c r="E184" s="35"/>
      <c r="F184" s="35"/>
      <c r="G184" s="35"/>
      <c r="H184" s="8"/>
      <c r="I184" s="35"/>
      <c r="J184" s="8"/>
      <c r="K184" s="8"/>
      <c r="L184" s="8"/>
      <c r="M184" s="8"/>
      <c r="N184" s="8"/>
      <c r="O184" s="8"/>
      <c r="P184" s="8"/>
    </row>
    <row r="185" spans="1:16" x14ac:dyDescent="0.4">
      <c r="A185" s="8"/>
      <c r="B185" s="35"/>
      <c r="C185" s="35"/>
      <c r="D185" s="35"/>
      <c r="E185" s="35"/>
      <c r="F185" s="35"/>
      <c r="G185" s="35"/>
      <c r="H185" s="8"/>
      <c r="I185" s="35"/>
      <c r="J185" s="8"/>
      <c r="K185" s="8"/>
      <c r="L185" s="8"/>
      <c r="M185" s="8"/>
      <c r="N185" s="8"/>
      <c r="O185" s="8"/>
      <c r="P185" s="8"/>
    </row>
    <row r="186" spans="1:16" x14ac:dyDescent="0.4">
      <c r="A186" s="8"/>
      <c r="B186" s="35"/>
      <c r="C186" s="35"/>
      <c r="D186" s="35"/>
      <c r="E186" s="35"/>
      <c r="F186" s="35"/>
      <c r="G186" s="35"/>
      <c r="H186" s="8"/>
      <c r="I186" s="35"/>
      <c r="J186" s="8"/>
      <c r="K186" s="8"/>
      <c r="L186" s="8"/>
      <c r="M186" s="8"/>
      <c r="N186" s="8"/>
      <c r="O186" s="8"/>
      <c r="P186" s="8"/>
    </row>
    <row r="187" spans="1:16" x14ac:dyDescent="0.4">
      <c r="A187" s="8"/>
      <c r="B187" s="35"/>
      <c r="C187" s="35"/>
      <c r="D187" s="35"/>
      <c r="E187" s="35"/>
      <c r="F187" s="35"/>
      <c r="G187" s="35"/>
      <c r="H187" s="8"/>
      <c r="I187" s="35"/>
      <c r="J187" s="8"/>
      <c r="K187" s="8"/>
      <c r="L187" s="8"/>
      <c r="M187" s="8"/>
      <c r="N187" s="8"/>
      <c r="O187" s="8"/>
      <c r="P187" s="8"/>
    </row>
    <row r="188" spans="1:16" x14ac:dyDescent="0.4">
      <c r="A188" s="8"/>
      <c r="B188" s="35"/>
      <c r="C188" s="35"/>
      <c r="D188" s="35"/>
      <c r="E188" s="35"/>
      <c r="F188" s="35"/>
      <c r="G188" s="35"/>
      <c r="H188" s="8"/>
      <c r="I188" s="35"/>
      <c r="J188" s="8"/>
      <c r="K188" s="8"/>
      <c r="L188" s="8"/>
      <c r="M188" s="8"/>
      <c r="N188" s="8"/>
      <c r="O188" s="8"/>
      <c r="P188" s="8"/>
    </row>
    <row r="189" spans="1:16" x14ac:dyDescent="0.4">
      <c r="A189" s="8"/>
      <c r="B189" s="35"/>
      <c r="C189" s="35"/>
      <c r="D189" s="35"/>
      <c r="E189" s="35"/>
      <c r="F189" s="35"/>
      <c r="G189" s="35"/>
      <c r="H189" s="8"/>
      <c r="I189" s="35"/>
      <c r="J189" s="8"/>
      <c r="K189" s="8"/>
      <c r="L189" s="8"/>
      <c r="M189" s="8"/>
      <c r="N189" s="8"/>
      <c r="O189" s="8"/>
      <c r="P189" s="8"/>
    </row>
    <row r="190" spans="1:16" x14ac:dyDescent="0.4">
      <c r="A190" s="8"/>
      <c r="B190" s="35"/>
      <c r="C190" s="35"/>
      <c r="D190" s="35"/>
      <c r="E190" s="35"/>
      <c r="F190" s="35"/>
      <c r="G190" s="35"/>
      <c r="H190" s="8"/>
      <c r="I190" s="35"/>
      <c r="J190" s="8"/>
      <c r="K190" s="8"/>
      <c r="L190" s="8"/>
      <c r="M190" s="8"/>
      <c r="N190" s="8"/>
      <c r="O190" s="8"/>
      <c r="P190" s="8"/>
    </row>
    <row r="191" spans="1:16" x14ac:dyDescent="0.4">
      <c r="A191" s="8"/>
      <c r="B191" s="35"/>
      <c r="C191" s="35"/>
      <c r="D191" s="35"/>
      <c r="E191" s="35"/>
      <c r="F191" s="35"/>
      <c r="G191" s="35"/>
      <c r="H191" s="8"/>
      <c r="I191" s="35"/>
      <c r="J191" s="8"/>
      <c r="K191" s="8"/>
      <c r="L191" s="8"/>
      <c r="M191" s="8"/>
      <c r="N191" s="8"/>
      <c r="O191" s="8"/>
      <c r="P191" s="8"/>
    </row>
    <row r="192" spans="1:16" x14ac:dyDescent="0.4">
      <c r="A192" s="8"/>
      <c r="B192" s="35"/>
      <c r="C192" s="35"/>
      <c r="D192" s="35"/>
      <c r="E192" s="35"/>
      <c r="F192" s="35"/>
      <c r="G192" s="35"/>
      <c r="H192" s="8"/>
      <c r="I192" s="35"/>
      <c r="J192" s="8"/>
      <c r="K192" s="8"/>
      <c r="L192" s="8"/>
      <c r="M192" s="8"/>
      <c r="N192" s="8"/>
      <c r="O192" s="8"/>
      <c r="P192" s="8"/>
    </row>
    <row r="193" spans="1:16" x14ac:dyDescent="0.4">
      <c r="A193" s="8"/>
      <c r="B193" s="35"/>
      <c r="C193" s="35"/>
      <c r="D193" s="35"/>
      <c r="E193" s="35"/>
      <c r="F193" s="35"/>
      <c r="G193" s="35"/>
      <c r="H193" s="8"/>
      <c r="I193" s="35"/>
      <c r="J193" s="8"/>
      <c r="K193" s="8"/>
      <c r="L193" s="8"/>
      <c r="M193" s="8"/>
      <c r="N193" s="8"/>
      <c r="O193" s="8"/>
      <c r="P193" s="8"/>
    </row>
    <row r="194" spans="1:16" x14ac:dyDescent="0.4">
      <c r="A194" s="8"/>
      <c r="B194" s="35"/>
      <c r="C194" s="35"/>
      <c r="D194" s="35"/>
      <c r="E194" s="35"/>
      <c r="F194" s="35"/>
      <c r="G194" s="35"/>
      <c r="H194" s="8"/>
      <c r="I194" s="35"/>
      <c r="J194" s="8"/>
      <c r="K194" s="8"/>
      <c r="L194" s="8"/>
      <c r="M194" s="8"/>
      <c r="N194" s="8"/>
      <c r="O194" s="8"/>
      <c r="P194" s="8"/>
    </row>
    <row r="195" spans="1:16" x14ac:dyDescent="0.4">
      <c r="A195" s="8"/>
      <c r="B195" s="35"/>
      <c r="C195" s="35"/>
      <c r="D195" s="35"/>
      <c r="E195" s="35"/>
      <c r="F195" s="35"/>
      <c r="G195" s="35"/>
      <c r="H195" s="8"/>
      <c r="I195" s="35"/>
      <c r="J195" s="8"/>
      <c r="K195" s="8"/>
      <c r="L195" s="8"/>
      <c r="M195" s="8"/>
      <c r="N195" s="8"/>
      <c r="O195" s="8"/>
      <c r="P195" s="8"/>
    </row>
    <row r="196" spans="1:16" x14ac:dyDescent="0.4">
      <c r="A196" s="8"/>
      <c r="B196" s="35"/>
      <c r="C196" s="35"/>
      <c r="D196" s="35"/>
      <c r="E196" s="35"/>
      <c r="F196" s="35"/>
      <c r="G196" s="35"/>
      <c r="H196" s="8"/>
      <c r="I196" s="35"/>
      <c r="J196" s="8"/>
      <c r="K196" s="8"/>
      <c r="L196" s="8"/>
      <c r="M196" s="8"/>
      <c r="N196" s="8"/>
      <c r="O196" s="8"/>
      <c r="P196" s="8"/>
    </row>
    <row r="197" spans="1:16" x14ac:dyDescent="0.4">
      <c r="A197" s="8"/>
      <c r="B197" s="35"/>
      <c r="C197" s="35"/>
      <c r="D197" s="35"/>
      <c r="E197" s="35"/>
      <c r="F197" s="35"/>
      <c r="G197" s="35"/>
      <c r="H197" s="8"/>
      <c r="I197" s="35"/>
      <c r="J197" s="8"/>
      <c r="K197" s="8"/>
      <c r="L197" s="8"/>
      <c r="M197" s="8"/>
      <c r="N197" s="8"/>
      <c r="O197" s="8"/>
      <c r="P197" s="8"/>
    </row>
    <row r="198" spans="1:16" x14ac:dyDescent="0.4">
      <c r="A198" s="8"/>
      <c r="B198" s="35"/>
      <c r="C198" s="35"/>
      <c r="D198" s="35"/>
      <c r="E198" s="35"/>
      <c r="F198" s="35"/>
      <c r="G198" s="35"/>
      <c r="H198" s="8"/>
      <c r="I198" s="35"/>
      <c r="J198" s="8"/>
      <c r="K198" s="8"/>
      <c r="L198" s="8"/>
      <c r="M198" s="8"/>
      <c r="N198" s="8"/>
      <c r="O198" s="8"/>
      <c r="P198" s="8"/>
    </row>
    <row r="199" spans="1:16" x14ac:dyDescent="0.4">
      <c r="A199" s="8"/>
      <c r="B199" s="35"/>
      <c r="C199" s="35"/>
      <c r="D199" s="35"/>
      <c r="E199" s="35"/>
      <c r="F199" s="35"/>
      <c r="G199" s="35"/>
      <c r="H199" s="8"/>
      <c r="I199" s="35"/>
      <c r="J199" s="8"/>
      <c r="K199" s="8"/>
      <c r="L199" s="8"/>
      <c r="M199" s="8"/>
      <c r="N199" s="8"/>
      <c r="O199" s="8"/>
      <c r="P199" s="8"/>
    </row>
    <row r="200" spans="1:16" x14ac:dyDescent="0.4">
      <c r="A200" s="8"/>
      <c r="B200" s="35"/>
      <c r="C200" s="35"/>
      <c r="D200" s="35"/>
      <c r="E200" s="35"/>
      <c r="F200" s="35"/>
      <c r="G200" s="35"/>
      <c r="H200" s="8"/>
      <c r="I200" s="35"/>
      <c r="J200" s="8"/>
      <c r="K200" s="8"/>
      <c r="L200" s="8"/>
      <c r="M200" s="8"/>
      <c r="N200" s="8"/>
      <c r="O200" s="8"/>
      <c r="P200" s="8"/>
    </row>
    <row r="201" spans="1:16" x14ac:dyDescent="0.4">
      <c r="A201" s="8"/>
      <c r="B201" s="35"/>
      <c r="C201" s="35"/>
      <c r="D201" s="35"/>
      <c r="E201" s="35"/>
      <c r="F201" s="35"/>
      <c r="G201" s="35"/>
      <c r="H201" s="8"/>
      <c r="I201" s="35"/>
      <c r="J201" s="8"/>
      <c r="K201" s="8"/>
      <c r="L201" s="8"/>
      <c r="M201" s="8"/>
      <c r="N201" s="8"/>
      <c r="O201" s="8"/>
      <c r="P201" s="8"/>
    </row>
    <row r="202" spans="1:16" x14ac:dyDescent="0.4">
      <c r="A202" s="8"/>
      <c r="B202" s="35"/>
      <c r="C202" s="35"/>
      <c r="D202" s="35"/>
      <c r="E202" s="35"/>
      <c r="F202" s="35"/>
      <c r="G202" s="35"/>
      <c r="H202" s="8"/>
      <c r="I202" s="35"/>
      <c r="J202" s="8"/>
      <c r="K202" s="8"/>
      <c r="L202" s="8"/>
      <c r="M202" s="8"/>
      <c r="N202" s="8"/>
      <c r="O202" s="8"/>
      <c r="P202" s="8"/>
    </row>
    <row r="203" spans="1:16" x14ac:dyDescent="0.4">
      <c r="A203" s="8"/>
      <c r="B203" s="35"/>
      <c r="C203" s="35"/>
      <c r="D203" s="35"/>
      <c r="E203" s="35"/>
      <c r="F203" s="35"/>
      <c r="G203" s="35"/>
      <c r="H203" s="8"/>
      <c r="I203" s="35"/>
      <c r="J203" s="8"/>
      <c r="K203" s="8"/>
      <c r="L203" s="8"/>
      <c r="M203" s="8"/>
      <c r="N203" s="8"/>
      <c r="O203" s="8"/>
      <c r="P203" s="8"/>
    </row>
    <row r="204" spans="1:16" x14ac:dyDescent="0.4">
      <c r="A204" s="8"/>
      <c r="B204" s="35"/>
      <c r="C204" s="35"/>
      <c r="D204" s="35"/>
      <c r="E204" s="35"/>
      <c r="F204" s="35"/>
      <c r="G204" s="35"/>
      <c r="H204" s="8"/>
      <c r="I204" s="35"/>
      <c r="J204" s="8"/>
      <c r="K204" s="8"/>
      <c r="L204" s="8"/>
      <c r="M204" s="8"/>
      <c r="N204" s="8"/>
      <c r="O204" s="8"/>
      <c r="P204" s="8"/>
    </row>
    <row r="205" spans="1:16" x14ac:dyDescent="0.4">
      <c r="A205" s="8"/>
      <c r="B205" s="35"/>
      <c r="C205" s="35"/>
      <c r="D205" s="35"/>
      <c r="E205" s="35"/>
      <c r="F205" s="35"/>
      <c r="G205" s="35"/>
      <c r="H205" s="8"/>
      <c r="I205" s="35"/>
      <c r="J205" s="8"/>
      <c r="K205" s="8"/>
      <c r="L205" s="8"/>
      <c r="M205" s="8"/>
      <c r="N205" s="8"/>
      <c r="O205" s="8"/>
      <c r="P205" s="8"/>
    </row>
    <row r="206" spans="1:16" x14ac:dyDescent="0.4">
      <c r="A206" s="8"/>
      <c r="B206" s="35"/>
      <c r="C206" s="35"/>
      <c r="D206" s="35"/>
      <c r="E206" s="35"/>
      <c r="F206" s="35"/>
      <c r="G206" s="35"/>
      <c r="H206" s="8"/>
      <c r="I206" s="35"/>
      <c r="J206" s="8"/>
      <c r="K206" s="8"/>
      <c r="L206" s="8"/>
      <c r="M206" s="8"/>
      <c r="N206" s="8"/>
      <c r="O206" s="8"/>
      <c r="P206" s="8"/>
    </row>
    <row r="207" spans="1:16" x14ac:dyDescent="0.4">
      <c r="A207" s="8"/>
      <c r="B207" s="35"/>
      <c r="C207" s="35"/>
      <c r="D207" s="35"/>
      <c r="E207" s="35"/>
      <c r="F207" s="35"/>
      <c r="G207" s="35"/>
      <c r="H207" s="8"/>
      <c r="I207" s="35"/>
      <c r="J207" s="8"/>
      <c r="K207" s="8"/>
      <c r="L207" s="8"/>
      <c r="M207" s="8"/>
      <c r="N207" s="8"/>
      <c r="O207" s="8"/>
      <c r="P207" s="8"/>
    </row>
    <row r="208" spans="1:16" x14ac:dyDescent="0.4">
      <c r="A208" s="8"/>
      <c r="B208" s="35"/>
      <c r="C208" s="35"/>
      <c r="D208" s="35"/>
      <c r="E208" s="35"/>
      <c r="F208" s="35"/>
      <c r="G208" s="35"/>
      <c r="H208" s="8"/>
      <c r="I208" s="35"/>
      <c r="J208" s="8"/>
      <c r="K208" s="8"/>
      <c r="L208" s="8"/>
      <c r="M208" s="8"/>
      <c r="N208" s="8"/>
      <c r="O208" s="8"/>
      <c r="P208" s="8"/>
    </row>
    <row r="209" spans="1:16" x14ac:dyDescent="0.4">
      <c r="A209" s="8"/>
      <c r="B209" s="35"/>
      <c r="C209" s="35"/>
      <c r="D209" s="35"/>
      <c r="E209" s="35"/>
      <c r="F209" s="35"/>
      <c r="G209" s="35"/>
      <c r="H209" s="8"/>
      <c r="I209" s="35"/>
      <c r="J209" s="8"/>
      <c r="K209" s="8"/>
      <c r="L209" s="8"/>
      <c r="M209" s="8"/>
      <c r="N209" s="8"/>
      <c r="O209" s="8"/>
      <c r="P209" s="8"/>
    </row>
    <row r="210" spans="1:16" x14ac:dyDescent="0.4">
      <c r="A210" s="8"/>
      <c r="B210" s="35"/>
      <c r="C210" s="35"/>
      <c r="D210" s="35"/>
      <c r="E210" s="35"/>
      <c r="F210" s="35"/>
      <c r="G210" s="35"/>
      <c r="H210" s="8"/>
      <c r="I210" s="35"/>
      <c r="J210" s="8"/>
      <c r="K210" s="8"/>
      <c r="L210" s="8"/>
      <c r="M210" s="8"/>
      <c r="N210" s="8"/>
      <c r="O210" s="8"/>
      <c r="P210" s="8"/>
    </row>
    <row r="211" spans="1:16" x14ac:dyDescent="0.4">
      <c r="A211" s="8"/>
      <c r="B211" s="35"/>
      <c r="C211" s="35"/>
      <c r="D211" s="35"/>
      <c r="E211" s="35"/>
      <c r="F211" s="35"/>
      <c r="G211" s="35"/>
      <c r="H211" s="8"/>
      <c r="I211" s="35"/>
      <c r="J211" s="8"/>
      <c r="K211" s="8"/>
      <c r="L211" s="8"/>
      <c r="M211" s="8"/>
      <c r="N211" s="8"/>
      <c r="O211" s="8"/>
      <c r="P211" s="8"/>
    </row>
    <row r="212" spans="1:16" x14ac:dyDescent="0.4">
      <c r="A212" s="8"/>
      <c r="B212" s="35"/>
      <c r="C212" s="35"/>
      <c r="D212" s="35"/>
      <c r="E212" s="35"/>
      <c r="F212" s="35"/>
      <c r="G212" s="35"/>
      <c r="H212" s="8"/>
      <c r="I212" s="35"/>
      <c r="J212" s="8"/>
      <c r="K212" s="8"/>
      <c r="L212" s="8"/>
      <c r="M212" s="8"/>
      <c r="N212" s="8"/>
      <c r="O212" s="8"/>
      <c r="P212" s="8"/>
    </row>
    <row r="213" spans="1:16" x14ac:dyDescent="0.4">
      <c r="A213" s="8"/>
      <c r="B213" s="35"/>
      <c r="C213" s="35"/>
      <c r="D213" s="35"/>
      <c r="E213" s="35"/>
      <c r="F213" s="35"/>
      <c r="G213" s="35"/>
      <c r="H213" s="8"/>
      <c r="I213" s="35"/>
      <c r="J213" s="8"/>
      <c r="K213" s="8"/>
      <c r="L213" s="8"/>
      <c r="M213" s="8"/>
      <c r="N213" s="8"/>
      <c r="O213" s="8"/>
      <c r="P213" s="8"/>
    </row>
    <row r="214" spans="1:16" x14ac:dyDescent="0.4">
      <c r="A214" s="8"/>
      <c r="B214" s="35"/>
      <c r="C214" s="35"/>
      <c r="D214" s="35"/>
      <c r="E214" s="35"/>
      <c r="F214" s="35"/>
      <c r="G214" s="35"/>
      <c r="H214" s="8"/>
      <c r="I214" s="35"/>
      <c r="J214" s="8"/>
      <c r="K214" s="8"/>
      <c r="L214" s="8"/>
      <c r="M214" s="8"/>
      <c r="N214" s="8"/>
      <c r="O214" s="8"/>
      <c r="P214" s="8"/>
    </row>
    <row r="215" spans="1:16" x14ac:dyDescent="0.4">
      <c r="A215" s="8"/>
      <c r="B215" s="35"/>
      <c r="C215" s="35"/>
      <c r="D215" s="35"/>
      <c r="E215" s="35"/>
      <c r="F215" s="35"/>
      <c r="G215" s="35"/>
      <c r="H215" s="8"/>
      <c r="I215" s="35"/>
      <c r="J215" s="8"/>
      <c r="K215" s="8"/>
      <c r="L215" s="8"/>
      <c r="M215" s="8"/>
      <c r="N215" s="8"/>
      <c r="O215" s="8"/>
      <c r="P215" s="8"/>
    </row>
    <row r="216" spans="1:16" x14ac:dyDescent="0.4">
      <c r="A216" s="8"/>
      <c r="B216" s="35"/>
      <c r="C216" s="35"/>
      <c r="D216" s="35"/>
      <c r="E216" s="35"/>
      <c r="F216" s="35"/>
      <c r="G216" s="35"/>
      <c r="H216" s="8"/>
      <c r="I216" s="35"/>
      <c r="J216" s="8"/>
      <c r="K216" s="8"/>
      <c r="L216" s="8"/>
      <c r="M216" s="8"/>
      <c r="N216" s="8"/>
      <c r="O216" s="8"/>
      <c r="P216" s="8"/>
    </row>
    <row r="217" spans="1:16" x14ac:dyDescent="0.4">
      <c r="A217" s="8"/>
      <c r="B217" s="35"/>
      <c r="C217" s="35"/>
      <c r="D217" s="35"/>
      <c r="E217" s="35"/>
      <c r="F217" s="35"/>
      <c r="G217" s="35"/>
      <c r="H217" s="8"/>
      <c r="I217" s="35"/>
      <c r="J217" s="8"/>
      <c r="K217" s="8"/>
      <c r="L217" s="8"/>
      <c r="M217" s="8"/>
      <c r="N217" s="8"/>
      <c r="O217" s="8"/>
      <c r="P217" s="8"/>
    </row>
    <row r="218" spans="1:16" x14ac:dyDescent="0.4">
      <c r="A218" s="8"/>
      <c r="B218" s="35"/>
      <c r="C218" s="35"/>
      <c r="D218" s="35"/>
      <c r="E218" s="35"/>
      <c r="F218" s="35"/>
      <c r="G218" s="35"/>
      <c r="H218" s="8"/>
      <c r="I218" s="35"/>
      <c r="J218" s="8"/>
      <c r="K218" s="8"/>
      <c r="L218" s="8"/>
      <c r="M218" s="8"/>
      <c r="N218" s="8"/>
      <c r="O218" s="8"/>
      <c r="P218" s="8"/>
    </row>
    <row r="219" spans="1:16" x14ac:dyDescent="0.4">
      <c r="A219" s="8"/>
      <c r="B219" s="35"/>
      <c r="C219" s="35"/>
      <c r="D219" s="35"/>
      <c r="E219" s="35"/>
      <c r="F219" s="35"/>
      <c r="G219" s="35"/>
      <c r="H219" s="8"/>
      <c r="I219" s="35"/>
      <c r="J219" s="8"/>
      <c r="K219" s="8"/>
      <c r="L219" s="8"/>
      <c r="M219" s="8"/>
      <c r="N219" s="8"/>
      <c r="O219" s="8"/>
      <c r="P219" s="8"/>
    </row>
    <row r="220" spans="1:16" x14ac:dyDescent="0.4">
      <c r="A220" s="8"/>
      <c r="B220" s="35"/>
      <c r="C220" s="35"/>
      <c r="D220" s="35"/>
      <c r="E220" s="35"/>
      <c r="F220" s="35"/>
      <c r="G220" s="35"/>
      <c r="H220" s="8"/>
      <c r="I220" s="35"/>
      <c r="J220" s="8"/>
      <c r="K220" s="8"/>
      <c r="L220" s="8"/>
      <c r="M220" s="8"/>
      <c r="N220" s="8"/>
      <c r="O220" s="8"/>
      <c r="P220" s="8"/>
    </row>
    <row r="221" spans="1:16" x14ac:dyDescent="0.4">
      <c r="A221" s="8"/>
      <c r="B221" s="35"/>
      <c r="C221" s="35"/>
      <c r="D221" s="35"/>
      <c r="E221" s="35"/>
      <c r="F221" s="35"/>
      <c r="G221" s="35"/>
      <c r="H221" s="8"/>
      <c r="I221" s="35"/>
      <c r="J221" s="8"/>
      <c r="K221" s="8"/>
      <c r="L221" s="8"/>
      <c r="M221" s="8"/>
      <c r="N221" s="8"/>
      <c r="O221" s="8"/>
      <c r="P221" s="8"/>
    </row>
    <row r="222" spans="1:16" x14ac:dyDescent="0.4">
      <c r="A222" s="8"/>
      <c r="B222" s="35"/>
      <c r="C222" s="35"/>
      <c r="D222" s="35"/>
      <c r="E222" s="35"/>
      <c r="F222" s="35"/>
      <c r="G222" s="35"/>
      <c r="H222" s="8"/>
      <c r="I222" s="35"/>
      <c r="J222" s="8"/>
      <c r="K222" s="8"/>
      <c r="L222" s="8"/>
      <c r="M222" s="8"/>
      <c r="N222" s="8"/>
      <c r="O222" s="8"/>
      <c r="P222" s="8"/>
    </row>
    <row r="223" spans="1:16" x14ac:dyDescent="0.4">
      <c r="A223" s="8"/>
      <c r="B223" s="35"/>
      <c r="C223" s="35"/>
      <c r="D223" s="35"/>
      <c r="E223" s="35"/>
      <c r="F223" s="35"/>
      <c r="G223" s="35"/>
      <c r="H223" s="8"/>
      <c r="I223" s="35"/>
      <c r="J223" s="8"/>
      <c r="K223" s="8"/>
      <c r="L223" s="8"/>
      <c r="M223" s="8"/>
      <c r="N223" s="8"/>
      <c r="O223" s="8"/>
      <c r="P223" s="8"/>
    </row>
    <row r="224" spans="1:16" x14ac:dyDescent="0.4">
      <c r="A224" s="8"/>
      <c r="B224" s="35"/>
      <c r="C224" s="35"/>
      <c r="D224" s="35"/>
      <c r="E224" s="35"/>
      <c r="F224" s="35"/>
      <c r="G224" s="35"/>
      <c r="H224" s="8"/>
      <c r="I224" s="35"/>
      <c r="J224" s="8"/>
      <c r="K224" s="8"/>
      <c r="L224" s="8"/>
      <c r="M224" s="8"/>
      <c r="N224" s="8"/>
      <c r="O224" s="8"/>
      <c r="P224" s="8"/>
    </row>
    <row r="225" spans="1:16" x14ac:dyDescent="0.4">
      <c r="A225" s="8"/>
      <c r="B225" s="35"/>
      <c r="C225" s="35"/>
      <c r="D225" s="35"/>
      <c r="E225" s="35"/>
      <c r="F225" s="35"/>
      <c r="G225" s="35"/>
      <c r="H225" s="8"/>
      <c r="I225" s="35"/>
      <c r="J225" s="8"/>
      <c r="K225" s="8"/>
      <c r="L225" s="8"/>
      <c r="M225" s="8"/>
      <c r="N225" s="8"/>
      <c r="O225" s="8"/>
      <c r="P225" s="8"/>
    </row>
    <row r="226" spans="1:16" x14ac:dyDescent="0.4">
      <c r="A226" s="8"/>
      <c r="B226" s="35"/>
      <c r="C226" s="35"/>
      <c r="D226" s="35"/>
      <c r="E226" s="35"/>
      <c r="F226" s="35"/>
      <c r="G226" s="35"/>
      <c r="H226" s="8"/>
      <c r="I226" s="35"/>
      <c r="J226" s="8"/>
      <c r="K226" s="8"/>
      <c r="L226" s="8"/>
      <c r="M226" s="8"/>
      <c r="N226" s="8"/>
      <c r="O226" s="8"/>
      <c r="P226" s="8"/>
    </row>
    <row r="227" spans="1:16" x14ac:dyDescent="0.4">
      <c r="A227" s="8"/>
      <c r="B227" s="35"/>
      <c r="C227" s="35"/>
      <c r="D227" s="35"/>
      <c r="E227" s="35"/>
      <c r="F227" s="35"/>
      <c r="G227" s="35"/>
      <c r="H227" s="8"/>
      <c r="I227" s="35"/>
      <c r="J227" s="8"/>
      <c r="K227" s="8"/>
      <c r="L227" s="8"/>
      <c r="M227" s="8"/>
      <c r="N227" s="8"/>
      <c r="O227" s="8"/>
      <c r="P227" s="8"/>
    </row>
    <row r="228" spans="1:16" x14ac:dyDescent="0.4">
      <c r="A228" s="8"/>
      <c r="B228" s="35"/>
      <c r="C228" s="35"/>
      <c r="D228" s="35"/>
      <c r="E228" s="35"/>
      <c r="F228" s="35"/>
      <c r="G228" s="35"/>
      <c r="H228" s="8"/>
      <c r="I228" s="35"/>
      <c r="J228" s="8"/>
      <c r="K228" s="8"/>
      <c r="L228" s="8"/>
      <c r="M228" s="8"/>
      <c r="N228" s="8"/>
      <c r="O228" s="8"/>
      <c r="P228" s="8"/>
    </row>
    <row r="229" spans="1:16" x14ac:dyDescent="0.4">
      <c r="A229" s="8"/>
      <c r="B229" s="35"/>
      <c r="C229" s="35"/>
      <c r="D229" s="35"/>
      <c r="E229" s="35"/>
      <c r="F229" s="35"/>
      <c r="G229" s="35"/>
      <c r="H229" s="8"/>
      <c r="I229" s="35"/>
      <c r="J229" s="8"/>
      <c r="K229" s="8"/>
      <c r="L229" s="8"/>
      <c r="M229" s="8"/>
      <c r="N229" s="8"/>
      <c r="O229" s="8"/>
      <c r="P229" s="8"/>
    </row>
    <row r="230" spans="1:16" x14ac:dyDescent="0.4">
      <c r="A230" s="8"/>
      <c r="B230" s="35"/>
      <c r="C230" s="35"/>
      <c r="D230" s="35"/>
      <c r="E230" s="35"/>
      <c r="F230" s="35"/>
      <c r="G230" s="35"/>
      <c r="H230" s="8"/>
      <c r="I230" s="35"/>
      <c r="J230" s="8"/>
      <c r="K230" s="8"/>
      <c r="L230" s="8"/>
      <c r="M230" s="8"/>
      <c r="N230" s="8"/>
      <c r="O230" s="8"/>
      <c r="P230" s="8"/>
    </row>
    <row r="231" spans="1:16" x14ac:dyDescent="0.4">
      <c r="A231" s="8"/>
      <c r="B231" s="35"/>
      <c r="C231" s="35"/>
      <c r="D231" s="35"/>
      <c r="E231" s="35"/>
      <c r="F231" s="35"/>
      <c r="G231" s="35"/>
      <c r="H231" s="8"/>
      <c r="I231" s="35"/>
      <c r="J231" s="8"/>
      <c r="K231" s="8"/>
      <c r="L231" s="8"/>
      <c r="M231" s="8"/>
      <c r="N231" s="8"/>
      <c r="O231" s="8"/>
      <c r="P231" s="8"/>
    </row>
    <row r="232" spans="1:16" x14ac:dyDescent="0.4">
      <c r="A232" s="8"/>
      <c r="B232" s="35"/>
      <c r="C232" s="35"/>
      <c r="D232" s="35"/>
      <c r="E232" s="35"/>
      <c r="F232" s="35"/>
      <c r="G232" s="35"/>
      <c r="H232" s="8"/>
      <c r="I232" s="35"/>
      <c r="J232" s="8"/>
      <c r="K232" s="8"/>
      <c r="L232" s="8"/>
      <c r="M232" s="8"/>
      <c r="N232" s="8"/>
      <c r="O232" s="8"/>
      <c r="P232" s="8"/>
    </row>
    <row r="233" spans="1:16" x14ac:dyDescent="0.4">
      <c r="A233" s="8"/>
      <c r="B233" s="35"/>
      <c r="C233" s="35"/>
      <c r="D233" s="35"/>
      <c r="E233" s="35"/>
      <c r="F233" s="35"/>
      <c r="G233" s="35"/>
      <c r="H233" s="8"/>
      <c r="I233" s="35"/>
      <c r="J233" s="8"/>
      <c r="K233" s="8"/>
      <c r="L233" s="8"/>
      <c r="M233" s="8"/>
      <c r="N233" s="8"/>
      <c r="O233" s="8"/>
      <c r="P233" s="8"/>
    </row>
    <row r="234" spans="1:16" x14ac:dyDescent="0.4">
      <c r="A234" s="8"/>
      <c r="B234" s="35"/>
      <c r="C234" s="35"/>
      <c r="D234" s="35"/>
      <c r="E234" s="35"/>
      <c r="F234" s="35"/>
      <c r="G234" s="35"/>
      <c r="H234" s="8"/>
      <c r="I234" s="35"/>
      <c r="J234" s="8"/>
      <c r="K234" s="8"/>
      <c r="L234" s="8"/>
      <c r="M234" s="8"/>
      <c r="N234" s="8"/>
      <c r="O234" s="8"/>
      <c r="P234" s="8"/>
    </row>
    <row r="235" spans="1:16" x14ac:dyDescent="0.4">
      <c r="A235" s="8"/>
      <c r="B235" s="35"/>
      <c r="C235" s="35"/>
      <c r="D235" s="35"/>
      <c r="E235" s="35"/>
      <c r="F235" s="35"/>
      <c r="G235" s="35"/>
      <c r="H235" s="8"/>
      <c r="I235" s="35"/>
      <c r="J235" s="8"/>
      <c r="K235" s="8"/>
      <c r="L235" s="8"/>
      <c r="M235" s="8"/>
      <c r="N235" s="8"/>
      <c r="O235" s="8"/>
      <c r="P235" s="8"/>
    </row>
    <row r="236" spans="1:16" x14ac:dyDescent="0.4">
      <c r="A236" s="8"/>
      <c r="B236" s="35"/>
      <c r="C236" s="35"/>
      <c r="D236" s="35"/>
      <c r="E236" s="35"/>
      <c r="F236" s="35"/>
      <c r="G236" s="35"/>
      <c r="H236" s="8"/>
      <c r="I236" s="35"/>
      <c r="J236" s="8"/>
      <c r="K236" s="8"/>
      <c r="L236" s="8"/>
      <c r="M236" s="8"/>
      <c r="N236" s="8"/>
      <c r="O236" s="8"/>
      <c r="P236" s="8"/>
    </row>
    <row r="237" spans="1:16" x14ac:dyDescent="0.4">
      <c r="A237" s="8"/>
      <c r="B237" s="35"/>
      <c r="C237" s="35"/>
      <c r="D237" s="35"/>
      <c r="E237" s="35"/>
      <c r="F237" s="35"/>
      <c r="G237" s="35"/>
      <c r="H237" s="8"/>
      <c r="I237" s="35"/>
      <c r="J237" s="8"/>
      <c r="K237" s="8"/>
      <c r="L237" s="8"/>
      <c r="M237" s="8"/>
      <c r="N237" s="8"/>
      <c r="O237" s="8"/>
      <c r="P237" s="8"/>
    </row>
    <row r="238" spans="1:16" x14ac:dyDescent="0.4">
      <c r="A238" s="8"/>
      <c r="B238" s="35"/>
      <c r="C238" s="35"/>
      <c r="D238" s="35"/>
      <c r="E238" s="35"/>
      <c r="F238" s="35"/>
      <c r="G238" s="35"/>
      <c r="H238" s="8"/>
      <c r="I238" s="35"/>
      <c r="J238" s="8"/>
      <c r="K238" s="8"/>
      <c r="L238" s="8"/>
      <c r="M238" s="8"/>
      <c r="N238" s="8"/>
      <c r="O238" s="8"/>
      <c r="P238" s="8"/>
    </row>
    <row r="239" spans="1:16" x14ac:dyDescent="0.4">
      <c r="A239" s="8"/>
      <c r="B239" s="35"/>
      <c r="C239" s="35"/>
      <c r="D239" s="35"/>
      <c r="E239" s="35"/>
      <c r="F239" s="35"/>
      <c r="G239" s="35"/>
      <c r="H239" s="8"/>
      <c r="I239" s="35"/>
      <c r="J239" s="8"/>
      <c r="K239" s="8"/>
      <c r="L239" s="8"/>
      <c r="M239" s="8"/>
      <c r="N239" s="8"/>
      <c r="O239" s="8"/>
      <c r="P239" s="8"/>
    </row>
    <row r="240" spans="1:16" x14ac:dyDescent="0.4">
      <c r="A240" s="8"/>
      <c r="B240" s="35"/>
      <c r="C240" s="35"/>
      <c r="D240" s="35"/>
      <c r="E240" s="35"/>
      <c r="F240" s="35"/>
      <c r="G240" s="35"/>
      <c r="H240" s="8"/>
      <c r="I240" s="35"/>
      <c r="J240" s="8"/>
      <c r="K240" s="8"/>
      <c r="L240" s="8"/>
      <c r="M240" s="8"/>
      <c r="N240" s="8"/>
      <c r="O240" s="8"/>
      <c r="P240" s="8"/>
    </row>
    <row r="241" spans="1:16" x14ac:dyDescent="0.4">
      <c r="A241" s="8"/>
      <c r="B241" s="35"/>
      <c r="C241" s="35"/>
      <c r="D241" s="35"/>
      <c r="E241" s="35"/>
      <c r="F241" s="35"/>
      <c r="G241" s="35"/>
      <c r="H241" s="8"/>
      <c r="I241" s="35"/>
      <c r="J241" s="8"/>
      <c r="K241" s="8"/>
      <c r="L241" s="8"/>
      <c r="M241" s="8"/>
      <c r="N241" s="8"/>
      <c r="O241" s="8"/>
      <c r="P241" s="8"/>
    </row>
    <row r="242" spans="1:16" x14ac:dyDescent="0.4">
      <c r="A242" s="8"/>
      <c r="B242" s="35"/>
      <c r="C242" s="35"/>
      <c r="D242" s="35"/>
      <c r="E242" s="35"/>
      <c r="F242" s="35"/>
      <c r="G242" s="35"/>
      <c r="H242" s="8"/>
      <c r="I242" s="35"/>
      <c r="J242" s="8"/>
      <c r="K242" s="8"/>
      <c r="L242" s="8"/>
      <c r="M242" s="8"/>
      <c r="N242" s="8"/>
      <c r="O242" s="8"/>
      <c r="P242" s="8"/>
    </row>
    <row r="243" spans="1:16" x14ac:dyDescent="0.4">
      <c r="A243" s="8"/>
      <c r="B243" s="35"/>
      <c r="C243" s="35"/>
      <c r="D243" s="35"/>
      <c r="E243" s="35"/>
      <c r="F243" s="35"/>
      <c r="G243" s="35"/>
      <c r="H243" s="8"/>
      <c r="I243" s="35"/>
      <c r="J243" s="8"/>
      <c r="K243" s="8"/>
      <c r="L243" s="8"/>
      <c r="M243" s="8"/>
      <c r="N243" s="8"/>
      <c r="O243" s="8"/>
      <c r="P243" s="8"/>
    </row>
    <row r="244" spans="1:16" x14ac:dyDescent="0.4">
      <c r="A244" s="8"/>
      <c r="B244" s="35"/>
      <c r="C244" s="35"/>
      <c r="D244" s="35"/>
      <c r="E244" s="35"/>
      <c r="F244" s="35"/>
      <c r="G244" s="35"/>
      <c r="H244" s="8"/>
      <c r="I244" s="35"/>
      <c r="J244" s="8"/>
      <c r="K244" s="8"/>
      <c r="L244" s="8"/>
      <c r="M244" s="8"/>
      <c r="N244" s="8"/>
      <c r="O244" s="8"/>
      <c r="P244" s="8"/>
    </row>
    <row r="245" spans="1:16" x14ac:dyDescent="0.4">
      <c r="A245" s="8"/>
      <c r="B245" s="35"/>
      <c r="C245" s="35"/>
      <c r="D245" s="35"/>
      <c r="E245" s="35"/>
      <c r="F245" s="35"/>
      <c r="G245" s="35"/>
      <c r="H245" s="8"/>
      <c r="I245" s="35"/>
      <c r="J245" s="8"/>
      <c r="K245" s="8"/>
      <c r="L245" s="8"/>
      <c r="M245" s="8"/>
      <c r="N245" s="8"/>
      <c r="O245" s="8"/>
      <c r="P245" s="8"/>
    </row>
    <row r="246" spans="1:16" x14ac:dyDescent="0.4">
      <c r="A246" s="8"/>
      <c r="B246" s="35"/>
      <c r="C246" s="35"/>
      <c r="D246" s="35"/>
      <c r="E246" s="35"/>
      <c r="F246" s="35"/>
      <c r="G246" s="35"/>
      <c r="H246" s="8"/>
      <c r="I246" s="35"/>
      <c r="J246" s="8"/>
      <c r="K246" s="8"/>
      <c r="L246" s="8"/>
      <c r="M246" s="8"/>
      <c r="N246" s="8"/>
      <c r="O246" s="8"/>
      <c r="P246" s="8"/>
    </row>
    <row r="247" spans="1:16" x14ac:dyDescent="0.4">
      <c r="A247" s="8"/>
      <c r="B247" s="35"/>
      <c r="C247" s="35"/>
      <c r="D247" s="35"/>
      <c r="E247" s="35"/>
      <c r="F247" s="35"/>
      <c r="G247" s="35"/>
      <c r="H247" s="8"/>
      <c r="I247" s="35"/>
      <c r="J247" s="8"/>
      <c r="K247" s="8"/>
      <c r="L247" s="8"/>
      <c r="M247" s="8"/>
      <c r="N247" s="8"/>
      <c r="O247" s="8"/>
      <c r="P247" s="8"/>
    </row>
    <row r="248" spans="1:16" x14ac:dyDescent="0.4">
      <c r="A248" s="8"/>
      <c r="B248" s="35"/>
      <c r="C248" s="35"/>
      <c r="D248" s="35"/>
      <c r="E248" s="35"/>
      <c r="F248" s="35"/>
      <c r="G248" s="35"/>
      <c r="H248" s="8"/>
      <c r="I248" s="35"/>
      <c r="J248" s="8"/>
      <c r="K248" s="8"/>
      <c r="L248" s="8"/>
      <c r="M248" s="8"/>
      <c r="N248" s="8"/>
      <c r="O248" s="8"/>
      <c r="P248" s="8"/>
    </row>
    <row r="249" spans="1:16" x14ac:dyDescent="0.4">
      <c r="A249" s="8"/>
      <c r="B249" s="35"/>
      <c r="C249" s="35"/>
      <c r="D249" s="35"/>
      <c r="E249" s="35"/>
      <c r="F249" s="35"/>
      <c r="G249" s="35"/>
      <c r="H249" s="8"/>
      <c r="I249" s="35"/>
      <c r="J249" s="8"/>
      <c r="K249" s="8"/>
      <c r="L249" s="8"/>
      <c r="M249" s="8"/>
      <c r="N249" s="8"/>
      <c r="O249" s="8"/>
      <c r="P249" s="8"/>
    </row>
    <row r="250" spans="1:16" x14ac:dyDescent="0.4">
      <c r="A250" s="8"/>
      <c r="B250" s="35"/>
      <c r="C250" s="35"/>
      <c r="D250" s="35"/>
      <c r="E250" s="35"/>
      <c r="F250" s="35"/>
      <c r="G250" s="35"/>
      <c r="H250" s="8"/>
      <c r="I250" s="35"/>
      <c r="J250" s="8"/>
      <c r="K250" s="8"/>
      <c r="L250" s="8"/>
      <c r="M250" s="8"/>
      <c r="N250" s="8"/>
      <c r="O250" s="8"/>
      <c r="P250" s="8"/>
    </row>
    <row r="251" spans="1:16" x14ac:dyDescent="0.4">
      <c r="A251" s="8"/>
      <c r="B251" s="35"/>
      <c r="C251" s="35"/>
      <c r="D251" s="35"/>
      <c r="E251" s="35"/>
      <c r="F251" s="35"/>
      <c r="G251" s="35"/>
      <c r="H251" s="8"/>
      <c r="I251" s="35"/>
      <c r="J251" s="8"/>
      <c r="K251" s="8"/>
      <c r="L251" s="8"/>
      <c r="M251" s="8"/>
      <c r="N251" s="8"/>
      <c r="O251" s="8"/>
      <c r="P251" s="8"/>
    </row>
    <row r="252" spans="1:16" x14ac:dyDescent="0.4">
      <c r="A252" s="8"/>
      <c r="B252" s="35"/>
      <c r="C252" s="35"/>
      <c r="D252" s="35"/>
      <c r="E252" s="35"/>
      <c r="F252" s="35"/>
      <c r="G252" s="35"/>
      <c r="H252" s="8"/>
      <c r="I252" s="35"/>
      <c r="J252" s="8"/>
      <c r="K252" s="8"/>
      <c r="L252" s="8"/>
      <c r="M252" s="8"/>
      <c r="N252" s="8"/>
      <c r="O252" s="8"/>
      <c r="P252" s="8"/>
    </row>
    <row r="253" spans="1:16" x14ac:dyDescent="0.4">
      <c r="A253" s="8"/>
      <c r="B253" s="35"/>
      <c r="C253" s="35"/>
      <c r="D253" s="35"/>
      <c r="E253" s="35"/>
      <c r="F253" s="35"/>
      <c r="G253" s="35"/>
      <c r="H253" s="8"/>
      <c r="I253" s="35"/>
      <c r="J253" s="8"/>
      <c r="K253" s="8"/>
      <c r="L253" s="8"/>
      <c r="M253" s="8"/>
      <c r="N253" s="8"/>
      <c r="O253" s="8"/>
      <c r="P253" s="8"/>
    </row>
    <row r="254" spans="1:16" x14ac:dyDescent="0.4">
      <c r="A254" s="8"/>
      <c r="B254" s="35"/>
      <c r="C254" s="35"/>
      <c r="D254" s="35"/>
      <c r="E254" s="35"/>
      <c r="F254" s="35"/>
      <c r="G254" s="35"/>
      <c r="H254" s="8"/>
      <c r="I254" s="35"/>
      <c r="J254" s="8"/>
      <c r="K254" s="8"/>
      <c r="L254" s="8"/>
      <c r="M254" s="8"/>
      <c r="N254" s="8"/>
      <c r="O254" s="8"/>
      <c r="P254" s="8"/>
    </row>
    <row r="255" spans="1:16" x14ac:dyDescent="0.4">
      <c r="A255" s="8"/>
      <c r="B255" s="35"/>
      <c r="C255" s="35"/>
      <c r="D255" s="35"/>
      <c r="E255" s="35"/>
      <c r="F255" s="35"/>
      <c r="G255" s="35"/>
      <c r="H255" s="8"/>
      <c r="I255" s="35"/>
      <c r="J255" s="8"/>
      <c r="K255" s="8"/>
      <c r="L255" s="8"/>
      <c r="M255" s="8"/>
      <c r="N255" s="8"/>
      <c r="O255" s="8"/>
      <c r="P255" s="8"/>
    </row>
    <row r="256" spans="1:16" x14ac:dyDescent="0.4">
      <c r="A256" s="8"/>
      <c r="B256" s="35"/>
      <c r="C256" s="35"/>
      <c r="D256" s="35"/>
      <c r="E256" s="35"/>
      <c r="F256" s="35"/>
      <c r="G256" s="35"/>
      <c r="H256" s="8"/>
      <c r="I256" s="35"/>
      <c r="J256" s="8"/>
      <c r="K256" s="8"/>
      <c r="L256" s="8"/>
      <c r="M256" s="8"/>
      <c r="N256" s="8"/>
      <c r="O256" s="8"/>
      <c r="P256" s="8"/>
    </row>
    <row r="257" spans="1:16" x14ac:dyDescent="0.4">
      <c r="A257" s="8"/>
      <c r="B257" s="35"/>
      <c r="C257" s="35"/>
      <c r="D257" s="35"/>
      <c r="E257" s="35"/>
      <c r="F257" s="35"/>
      <c r="G257" s="35"/>
      <c r="H257" s="8"/>
      <c r="I257" s="35"/>
      <c r="J257" s="8"/>
      <c r="K257" s="8"/>
      <c r="L257" s="8"/>
      <c r="M257" s="8"/>
      <c r="N257" s="8"/>
      <c r="O257" s="8"/>
      <c r="P257" s="8"/>
    </row>
    <row r="258" spans="1:16" x14ac:dyDescent="0.4">
      <c r="A258" s="8"/>
      <c r="B258" s="35"/>
      <c r="C258" s="35"/>
      <c r="D258" s="35"/>
      <c r="E258" s="35"/>
      <c r="F258" s="35"/>
      <c r="G258" s="35"/>
      <c r="H258" s="8"/>
      <c r="I258" s="35"/>
      <c r="J258" s="8"/>
      <c r="K258" s="8"/>
      <c r="L258" s="8"/>
      <c r="M258" s="8"/>
      <c r="N258" s="8"/>
      <c r="O258" s="8"/>
      <c r="P258" s="8"/>
    </row>
    <row r="259" spans="1:16" x14ac:dyDescent="0.4">
      <c r="A259" s="8"/>
      <c r="B259" s="35"/>
      <c r="C259" s="35"/>
      <c r="D259" s="35"/>
      <c r="E259" s="35"/>
      <c r="F259" s="35"/>
      <c r="G259" s="35"/>
      <c r="H259" s="8"/>
      <c r="I259" s="35"/>
      <c r="J259" s="8"/>
      <c r="K259" s="8"/>
      <c r="L259" s="8"/>
      <c r="M259" s="8"/>
      <c r="N259" s="8"/>
      <c r="O259" s="8"/>
      <c r="P259" s="8"/>
    </row>
    <row r="260" spans="1:16" x14ac:dyDescent="0.4">
      <c r="A260" s="8"/>
      <c r="B260" s="35"/>
      <c r="C260" s="35"/>
      <c r="D260" s="35"/>
      <c r="E260" s="35"/>
      <c r="F260" s="35"/>
      <c r="G260" s="35"/>
      <c r="H260" s="8"/>
      <c r="I260" s="35"/>
      <c r="J260" s="8"/>
      <c r="K260" s="8"/>
      <c r="L260" s="8"/>
      <c r="M260" s="8"/>
      <c r="N260" s="8"/>
      <c r="O260" s="8"/>
      <c r="P260" s="8"/>
    </row>
    <row r="261" spans="1:16" x14ac:dyDescent="0.4">
      <c r="A261" s="8"/>
      <c r="B261" s="35"/>
      <c r="C261" s="35"/>
      <c r="D261" s="35"/>
      <c r="E261" s="35"/>
      <c r="F261" s="35"/>
      <c r="G261" s="35"/>
      <c r="H261" s="8"/>
      <c r="I261" s="35"/>
      <c r="J261" s="8"/>
      <c r="K261" s="8"/>
      <c r="L261" s="8"/>
      <c r="M261" s="8"/>
      <c r="N261" s="8"/>
      <c r="O261" s="8"/>
      <c r="P261" s="8"/>
    </row>
    <row r="262" spans="1:16" x14ac:dyDescent="0.4">
      <c r="A262" s="8"/>
      <c r="B262" s="35"/>
      <c r="C262" s="35"/>
      <c r="D262" s="35"/>
      <c r="E262" s="35"/>
      <c r="F262" s="35"/>
      <c r="G262" s="35"/>
      <c r="H262" s="8"/>
      <c r="I262" s="35"/>
      <c r="J262" s="8"/>
      <c r="K262" s="8"/>
      <c r="L262" s="8"/>
      <c r="M262" s="8"/>
      <c r="N262" s="8"/>
      <c r="O262" s="8"/>
      <c r="P262" s="8"/>
    </row>
    <row r="263" spans="1:16" x14ac:dyDescent="0.4">
      <c r="A263" s="8"/>
      <c r="B263" s="35"/>
      <c r="C263" s="35"/>
      <c r="D263" s="35"/>
      <c r="E263" s="35"/>
      <c r="F263" s="35"/>
      <c r="G263" s="35"/>
      <c r="H263" s="8"/>
      <c r="I263" s="35"/>
      <c r="J263" s="8"/>
      <c r="K263" s="8"/>
      <c r="L263" s="8"/>
      <c r="M263" s="8"/>
      <c r="N263" s="8"/>
      <c r="O263" s="8"/>
      <c r="P263" s="8"/>
    </row>
    <row r="264" spans="1:16" x14ac:dyDescent="0.4">
      <c r="A264" s="8"/>
      <c r="B264" s="35"/>
      <c r="C264" s="35"/>
      <c r="D264" s="35"/>
      <c r="E264" s="35"/>
      <c r="F264" s="35"/>
      <c r="G264" s="35"/>
      <c r="H264" s="8"/>
      <c r="I264" s="35"/>
      <c r="J264" s="8"/>
      <c r="K264" s="8"/>
      <c r="L264" s="8"/>
      <c r="M264" s="8"/>
      <c r="N264" s="8"/>
      <c r="O264" s="8"/>
      <c r="P264" s="8"/>
    </row>
    <row r="265" spans="1:16" x14ac:dyDescent="0.4">
      <c r="A265" s="8"/>
      <c r="B265" s="35"/>
      <c r="C265" s="35"/>
      <c r="D265" s="35"/>
      <c r="E265" s="35"/>
      <c r="F265" s="35"/>
      <c r="G265" s="35"/>
      <c r="H265" s="8"/>
      <c r="I265" s="35"/>
      <c r="J265" s="8"/>
      <c r="K265" s="8"/>
      <c r="L265" s="8"/>
      <c r="M265" s="8"/>
      <c r="N265" s="8"/>
      <c r="O265" s="8"/>
      <c r="P265" s="8"/>
    </row>
    <row r="266" spans="1:16" x14ac:dyDescent="0.4">
      <c r="A266" s="8"/>
      <c r="B266" s="35"/>
      <c r="C266" s="35"/>
      <c r="D266" s="35"/>
      <c r="E266" s="35"/>
      <c r="F266" s="35"/>
      <c r="G266" s="35"/>
      <c r="H266" s="8"/>
      <c r="I266" s="35"/>
      <c r="J266" s="8"/>
      <c r="K266" s="8"/>
      <c r="L266" s="8"/>
      <c r="M266" s="8"/>
      <c r="N266" s="8"/>
      <c r="O266" s="8"/>
      <c r="P266" s="8"/>
    </row>
    <row r="267" spans="1:16" x14ac:dyDescent="0.4">
      <c r="A267" s="8"/>
      <c r="B267" s="35"/>
      <c r="C267" s="35"/>
      <c r="D267" s="35"/>
      <c r="E267" s="35"/>
      <c r="F267" s="35"/>
      <c r="G267" s="35"/>
      <c r="H267" s="8"/>
      <c r="I267" s="35"/>
      <c r="J267" s="8"/>
      <c r="K267" s="8"/>
      <c r="L267" s="8"/>
      <c r="M267" s="8"/>
      <c r="N267" s="8"/>
      <c r="O267" s="8"/>
      <c r="P267" s="8"/>
    </row>
    <row r="268" spans="1:16" x14ac:dyDescent="0.4">
      <c r="A268" s="8"/>
      <c r="B268" s="35"/>
      <c r="C268" s="35"/>
      <c r="D268" s="35"/>
      <c r="E268" s="35"/>
      <c r="F268" s="35"/>
      <c r="G268" s="35"/>
      <c r="H268" s="8"/>
      <c r="I268" s="35"/>
      <c r="J268" s="8"/>
      <c r="K268" s="8"/>
      <c r="L268" s="8"/>
      <c r="M268" s="8"/>
      <c r="N268" s="8"/>
      <c r="O268" s="8"/>
      <c r="P268" s="8"/>
    </row>
    <row r="269" spans="1:16" x14ac:dyDescent="0.4">
      <c r="A269" s="8"/>
      <c r="B269" s="35"/>
      <c r="C269" s="35"/>
      <c r="D269" s="35"/>
      <c r="E269" s="35"/>
      <c r="F269" s="35"/>
      <c r="G269" s="35"/>
      <c r="H269" s="8"/>
      <c r="I269" s="35"/>
      <c r="J269" s="8"/>
      <c r="K269" s="8"/>
      <c r="L269" s="8"/>
      <c r="M269" s="8"/>
      <c r="N269" s="8"/>
      <c r="O269" s="8"/>
      <c r="P269" s="8"/>
    </row>
    <row r="270" spans="1:16" x14ac:dyDescent="0.4">
      <c r="A270" s="8"/>
      <c r="B270" s="35"/>
      <c r="C270" s="35"/>
      <c r="D270" s="35"/>
      <c r="E270" s="35"/>
      <c r="F270" s="35"/>
      <c r="G270" s="35"/>
      <c r="H270" s="8"/>
      <c r="I270" s="35"/>
      <c r="J270" s="8"/>
      <c r="K270" s="8"/>
      <c r="L270" s="8"/>
      <c r="M270" s="8"/>
      <c r="N270" s="8"/>
      <c r="O270" s="8"/>
      <c r="P270" s="8"/>
    </row>
    <row r="271" spans="1:16" x14ac:dyDescent="0.4">
      <c r="A271" s="8"/>
      <c r="B271" s="35"/>
      <c r="C271" s="35"/>
      <c r="D271" s="35"/>
      <c r="E271" s="35"/>
      <c r="F271" s="35"/>
      <c r="G271" s="35"/>
      <c r="H271" s="8"/>
      <c r="I271" s="35"/>
      <c r="J271" s="8"/>
      <c r="K271" s="8"/>
      <c r="L271" s="8"/>
      <c r="M271" s="8"/>
      <c r="N271" s="8"/>
      <c r="O271" s="8"/>
      <c r="P271" s="8"/>
    </row>
    <row r="272" spans="1:16" x14ac:dyDescent="0.4">
      <c r="A272" s="8"/>
      <c r="B272" s="35"/>
      <c r="C272" s="35"/>
      <c r="D272" s="35"/>
      <c r="E272" s="35"/>
      <c r="F272" s="35"/>
      <c r="G272" s="35"/>
      <c r="H272" s="8"/>
      <c r="I272" s="35"/>
      <c r="J272" s="8"/>
      <c r="K272" s="8"/>
      <c r="L272" s="8"/>
      <c r="M272" s="8"/>
      <c r="N272" s="8"/>
      <c r="O272" s="8"/>
      <c r="P272" s="8"/>
    </row>
    <row r="273" spans="1:16" x14ac:dyDescent="0.4">
      <c r="A273" s="8"/>
      <c r="B273" s="35"/>
      <c r="C273" s="35"/>
      <c r="D273" s="35"/>
      <c r="E273" s="35"/>
      <c r="F273" s="35"/>
      <c r="G273" s="35"/>
      <c r="H273" s="8"/>
      <c r="I273" s="35"/>
      <c r="J273" s="8"/>
      <c r="K273" s="8"/>
      <c r="L273" s="8"/>
      <c r="M273" s="8"/>
      <c r="N273" s="8"/>
      <c r="O273" s="8"/>
      <c r="P273" s="8"/>
    </row>
    <row r="274" spans="1:16" x14ac:dyDescent="0.4">
      <c r="A274" s="8"/>
      <c r="B274" s="35"/>
      <c r="C274" s="35"/>
      <c r="D274" s="35"/>
      <c r="E274" s="35"/>
      <c r="F274" s="35"/>
      <c r="G274" s="35"/>
      <c r="H274" s="8"/>
      <c r="I274" s="35"/>
      <c r="J274" s="8"/>
      <c r="K274" s="8"/>
      <c r="L274" s="8"/>
      <c r="M274" s="8"/>
      <c r="N274" s="8"/>
      <c r="O274" s="8"/>
      <c r="P274" s="8"/>
    </row>
    <row r="275" spans="1:16" x14ac:dyDescent="0.4">
      <c r="A275" s="8"/>
      <c r="B275" s="35"/>
      <c r="C275" s="35"/>
      <c r="D275" s="35"/>
      <c r="E275" s="35"/>
      <c r="F275" s="35"/>
      <c r="G275" s="35"/>
      <c r="H275" s="8"/>
      <c r="I275" s="35"/>
      <c r="J275" s="8"/>
      <c r="K275" s="8"/>
      <c r="L275" s="8"/>
      <c r="M275" s="8"/>
      <c r="N275" s="8"/>
      <c r="O275" s="8"/>
      <c r="P275" s="8"/>
    </row>
    <row r="276" spans="1:16" x14ac:dyDescent="0.4">
      <c r="A276" s="8"/>
      <c r="B276" s="35"/>
      <c r="C276" s="35"/>
      <c r="D276" s="35"/>
      <c r="E276" s="35"/>
      <c r="F276" s="35"/>
      <c r="G276" s="35"/>
      <c r="H276" s="8"/>
      <c r="I276" s="35"/>
      <c r="J276" s="8"/>
      <c r="K276" s="8"/>
      <c r="L276" s="8"/>
      <c r="M276" s="8"/>
      <c r="N276" s="8"/>
      <c r="O276" s="8"/>
      <c r="P276" s="8"/>
    </row>
    <row r="277" spans="1:16" x14ac:dyDescent="0.4">
      <c r="A277" s="8"/>
      <c r="B277" s="35"/>
      <c r="C277" s="35"/>
      <c r="D277" s="35"/>
      <c r="E277" s="35"/>
      <c r="F277" s="35"/>
      <c r="G277" s="35"/>
      <c r="H277" s="8"/>
      <c r="I277" s="35"/>
      <c r="J277" s="8"/>
      <c r="K277" s="8"/>
      <c r="L277" s="8"/>
      <c r="M277" s="8"/>
      <c r="N277" s="8"/>
      <c r="O277" s="8"/>
      <c r="P277" s="8"/>
    </row>
    <row r="278" spans="1:16" x14ac:dyDescent="0.4">
      <c r="A278" s="8"/>
      <c r="B278" s="35"/>
      <c r="C278" s="35"/>
      <c r="D278" s="35"/>
      <c r="E278" s="35"/>
      <c r="F278" s="35"/>
      <c r="G278" s="35"/>
      <c r="H278" s="8"/>
      <c r="I278" s="35"/>
      <c r="J278" s="8"/>
      <c r="K278" s="8"/>
      <c r="L278" s="8"/>
      <c r="M278" s="8"/>
      <c r="N278" s="8"/>
      <c r="O278" s="8"/>
      <c r="P278" s="8"/>
    </row>
    <row r="279" spans="1:16" x14ac:dyDescent="0.4">
      <c r="A279" s="8"/>
      <c r="B279" s="35"/>
      <c r="C279" s="35"/>
      <c r="D279" s="35"/>
      <c r="E279" s="35"/>
      <c r="F279" s="35"/>
      <c r="G279" s="35"/>
      <c r="H279" s="8"/>
      <c r="I279" s="35"/>
      <c r="J279" s="8"/>
      <c r="K279" s="8"/>
      <c r="L279" s="8"/>
      <c r="M279" s="8"/>
      <c r="N279" s="8"/>
      <c r="O279" s="8"/>
      <c r="P279" s="8"/>
    </row>
    <row r="280" spans="1:16" x14ac:dyDescent="0.4">
      <c r="A280" s="8"/>
      <c r="B280" s="35"/>
      <c r="C280" s="35"/>
      <c r="D280" s="35"/>
      <c r="E280" s="35"/>
      <c r="F280" s="35"/>
      <c r="G280" s="35"/>
      <c r="H280" s="8"/>
      <c r="I280" s="35"/>
      <c r="J280" s="8"/>
      <c r="K280" s="8"/>
      <c r="L280" s="8"/>
      <c r="M280" s="8"/>
      <c r="N280" s="8"/>
      <c r="O280" s="8"/>
      <c r="P280" s="8"/>
    </row>
    <row r="281" spans="1:16" x14ac:dyDescent="0.4">
      <c r="A281" s="8"/>
      <c r="B281" s="35"/>
      <c r="C281" s="35"/>
      <c r="D281" s="35"/>
      <c r="E281" s="35"/>
      <c r="F281" s="35"/>
      <c r="G281" s="35"/>
      <c r="H281" s="8"/>
      <c r="I281" s="35"/>
      <c r="J281" s="8"/>
      <c r="K281" s="8"/>
      <c r="L281" s="8"/>
      <c r="M281" s="8"/>
      <c r="N281" s="8"/>
      <c r="O281" s="8"/>
      <c r="P281" s="8"/>
    </row>
    <row r="282" spans="1:16" x14ac:dyDescent="0.4">
      <c r="A282" s="8"/>
      <c r="B282" s="35"/>
      <c r="C282" s="35"/>
      <c r="D282" s="35"/>
      <c r="E282" s="35"/>
      <c r="F282" s="35"/>
      <c r="G282" s="35"/>
      <c r="H282" s="8"/>
      <c r="I282" s="35"/>
      <c r="J282" s="8"/>
      <c r="K282" s="8"/>
      <c r="L282" s="8"/>
      <c r="M282" s="8"/>
      <c r="N282" s="8"/>
      <c r="O282" s="8"/>
      <c r="P282" s="8"/>
    </row>
    <row r="283" spans="1:16" x14ac:dyDescent="0.4">
      <c r="A283" s="8"/>
      <c r="B283" s="35"/>
      <c r="C283" s="35"/>
      <c r="D283" s="35"/>
      <c r="E283" s="35"/>
      <c r="F283" s="35"/>
      <c r="G283" s="35"/>
      <c r="H283" s="8"/>
      <c r="I283" s="35"/>
      <c r="J283" s="8"/>
      <c r="K283" s="8"/>
      <c r="L283" s="8"/>
      <c r="M283" s="8"/>
      <c r="N283" s="8"/>
      <c r="O283" s="8"/>
      <c r="P283" s="8"/>
    </row>
    <row r="284" spans="1:16" x14ac:dyDescent="0.4">
      <c r="A284" s="8"/>
      <c r="B284" s="35"/>
      <c r="C284" s="35"/>
      <c r="D284" s="35"/>
      <c r="E284" s="35"/>
      <c r="F284" s="35"/>
      <c r="G284" s="35"/>
      <c r="H284" s="8"/>
      <c r="I284" s="35"/>
      <c r="J284" s="8"/>
      <c r="K284" s="8"/>
      <c r="L284" s="8"/>
      <c r="M284" s="8"/>
      <c r="N284" s="8"/>
      <c r="O284" s="8"/>
      <c r="P284" s="8"/>
    </row>
    <row r="285" spans="1:16" x14ac:dyDescent="0.4">
      <c r="A285" s="8"/>
      <c r="B285" s="35"/>
      <c r="C285" s="35"/>
      <c r="D285" s="35"/>
      <c r="E285" s="35"/>
      <c r="F285" s="35"/>
      <c r="G285" s="35"/>
      <c r="H285" s="8"/>
      <c r="I285" s="35"/>
      <c r="J285" s="8"/>
      <c r="K285" s="8"/>
      <c r="L285" s="8"/>
      <c r="M285" s="8"/>
      <c r="N285" s="8"/>
      <c r="O285" s="8"/>
      <c r="P285" s="8"/>
    </row>
    <row r="286" spans="1:16" x14ac:dyDescent="0.4">
      <c r="A286" s="8"/>
      <c r="B286" s="35"/>
      <c r="C286" s="35"/>
      <c r="D286" s="35"/>
      <c r="E286" s="35"/>
      <c r="F286" s="35"/>
      <c r="G286" s="35"/>
      <c r="H286" s="8"/>
      <c r="I286" s="35"/>
      <c r="J286" s="8"/>
      <c r="K286" s="8"/>
      <c r="L286" s="8"/>
      <c r="M286" s="8"/>
      <c r="N286" s="8"/>
      <c r="O286" s="8"/>
      <c r="P286" s="8"/>
    </row>
    <row r="287" spans="1:16" x14ac:dyDescent="0.4">
      <c r="A287" s="8"/>
      <c r="B287" s="35"/>
      <c r="C287" s="35"/>
      <c r="D287" s="35"/>
      <c r="E287" s="35"/>
      <c r="F287" s="35"/>
      <c r="G287" s="35"/>
      <c r="H287" s="8"/>
      <c r="I287" s="35"/>
      <c r="J287" s="8"/>
      <c r="K287" s="8"/>
      <c r="L287" s="8"/>
      <c r="M287" s="8"/>
      <c r="N287" s="8"/>
      <c r="O287" s="8"/>
      <c r="P287" s="8"/>
    </row>
    <row r="288" spans="1:16" x14ac:dyDescent="0.4">
      <c r="A288" s="8"/>
      <c r="B288" s="35"/>
      <c r="C288" s="35"/>
      <c r="D288" s="35"/>
      <c r="E288" s="35"/>
      <c r="F288" s="35"/>
      <c r="G288" s="35"/>
      <c r="H288" s="8"/>
      <c r="I288" s="35"/>
      <c r="J288" s="8"/>
      <c r="K288" s="8"/>
      <c r="L288" s="8"/>
      <c r="M288" s="8"/>
      <c r="N288" s="8"/>
      <c r="O288" s="8"/>
      <c r="P288" s="8"/>
    </row>
    <row r="289" spans="1:16" x14ac:dyDescent="0.4">
      <c r="A289" s="8"/>
      <c r="B289" s="35"/>
      <c r="C289" s="35"/>
      <c r="D289" s="35"/>
      <c r="E289" s="35"/>
      <c r="F289" s="35"/>
      <c r="G289" s="35"/>
      <c r="H289" s="8"/>
      <c r="I289" s="35"/>
      <c r="J289" s="8"/>
      <c r="K289" s="8"/>
      <c r="L289" s="8"/>
      <c r="M289" s="8"/>
      <c r="N289" s="8"/>
      <c r="O289" s="8"/>
      <c r="P289" s="8"/>
    </row>
    <row r="290" spans="1:16" x14ac:dyDescent="0.4">
      <c r="A290" s="8"/>
      <c r="B290" s="35"/>
      <c r="C290" s="35"/>
      <c r="D290" s="35"/>
      <c r="E290" s="35"/>
      <c r="F290" s="35"/>
      <c r="G290" s="35"/>
      <c r="H290" s="8"/>
      <c r="I290" s="35"/>
      <c r="J290" s="8"/>
      <c r="K290" s="8"/>
      <c r="L290" s="8"/>
      <c r="M290" s="8"/>
      <c r="N290" s="8"/>
      <c r="O290" s="8"/>
      <c r="P290" s="8"/>
    </row>
    <row r="291" spans="1:16" x14ac:dyDescent="0.4">
      <c r="A291" s="8"/>
      <c r="B291" s="35"/>
      <c r="C291" s="35"/>
      <c r="D291" s="35"/>
      <c r="E291" s="35"/>
      <c r="F291" s="35"/>
      <c r="G291" s="35"/>
      <c r="H291" s="8"/>
      <c r="I291" s="35"/>
      <c r="J291" s="8"/>
      <c r="K291" s="8"/>
      <c r="L291" s="8"/>
      <c r="M291" s="8"/>
      <c r="N291" s="8"/>
      <c r="O291" s="8"/>
      <c r="P291" s="8"/>
    </row>
    <row r="292" spans="1:16" x14ac:dyDescent="0.4">
      <c r="A292" s="8"/>
      <c r="B292" s="35"/>
      <c r="C292" s="35"/>
      <c r="D292" s="35"/>
      <c r="E292" s="35"/>
      <c r="F292" s="35"/>
      <c r="G292" s="35"/>
      <c r="H292" s="8"/>
      <c r="I292" s="35"/>
      <c r="J292" s="8"/>
      <c r="K292" s="8"/>
      <c r="L292" s="8"/>
      <c r="M292" s="8"/>
      <c r="N292" s="8"/>
      <c r="O292" s="8"/>
      <c r="P292" s="8"/>
    </row>
    <row r="293" spans="1:16" x14ac:dyDescent="0.4">
      <c r="A293" s="8"/>
      <c r="B293" s="35"/>
      <c r="C293" s="35"/>
      <c r="D293" s="35"/>
      <c r="E293" s="35"/>
      <c r="F293" s="35"/>
      <c r="G293" s="35"/>
      <c r="H293" s="8"/>
      <c r="I293" s="35"/>
      <c r="J293" s="8"/>
      <c r="K293" s="8"/>
      <c r="L293" s="8"/>
      <c r="M293" s="8"/>
      <c r="N293" s="8"/>
      <c r="O293" s="8"/>
      <c r="P293" s="8"/>
    </row>
    <row r="294" spans="1:16" x14ac:dyDescent="0.4">
      <c r="A294" s="8"/>
      <c r="B294" s="35"/>
      <c r="C294" s="35"/>
      <c r="D294" s="35"/>
      <c r="E294" s="35"/>
      <c r="F294" s="35"/>
      <c r="G294" s="35"/>
      <c r="H294" s="8"/>
      <c r="I294" s="35"/>
      <c r="J294" s="8"/>
      <c r="K294" s="8"/>
      <c r="L294" s="8"/>
      <c r="M294" s="8"/>
      <c r="N294" s="8"/>
      <c r="O294" s="8"/>
      <c r="P294" s="8"/>
    </row>
    <row r="295" spans="1:16" x14ac:dyDescent="0.4">
      <c r="A295" s="8"/>
      <c r="B295" s="35"/>
      <c r="C295" s="35"/>
      <c r="D295" s="35"/>
      <c r="E295" s="35"/>
      <c r="F295" s="35"/>
      <c r="G295" s="35"/>
      <c r="H295" s="8"/>
      <c r="I295" s="35"/>
      <c r="J295" s="8"/>
      <c r="K295" s="8"/>
      <c r="L295" s="8"/>
      <c r="M295" s="8"/>
      <c r="N295" s="8"/>
      <c r="O295" s="8"/>
      <c r="P295" s="8"/>
    </row>
    <row r="296" spans="1:16" x14ac:dyDescent="0.4">
      <c r="A296" s="8"/>
      <c r="B296" s="35"/>
      <c r="C296" s="35"/>
      <c r="D296" s="35"/>
      <c r="E296" s="35"/>
      <c r="F296" s="35"/>
      <c r="G296" s="35"/>
      <c r="H296" s="8"/>
      <c r="I296" s="35"/>
      <c r="J296" s="8"/>
      <c r="K296" s="8"/>
      <c r="L296" s="8"/>
      <c r="M296" s="8"/>
      <c r="N296" s="8"/>
      <c r="O296" s="8"/>
      <c r="P296" s="8"/>
    </row>
    <row r="297" spans="1:16" x14ac:dyDescent="0.4">
      <c r="A297" s="8"/>
      <c r="B297" s="35"/>
      <c r="C297" s="35"/>
      <c r="D297" s="35"/>
      <c r="E297" s="35"/>
      <c r="F297" s="35"/>
      <c r="G297" s="35"/>
      <c r="H297" s="8"/>
      <c r="I297" s="35"/>
      <c r="J297" s="8"/>
      <c r="K297" s="8"/>
      <c r="L297" s="8"/>
      <c r="M297" s="8"/>
      <c r="N297" s="8"/>
      <c r="O297" s="8"/>
      <c r="P297" s="8"/>
    </row>
    <row r="298" spans="1:16" x14ac:dyDescent="0.4">
      <c r="A298" s="8"/>
      <c r="B298" s="35"/>
      <c r="C298" s="35"/>
      <c r="D298" s="35"/>
      <c r="E298" s="35"/>
      <c r="F298" s="35"/>
      <c r="G298" s="35"/>
      <c r="H298" s="8"/>
      <c r="I298" s="35"/>
      <c r="J298" s="8"/>
      <c r="K298" s="8"/>
      <c r="L298" s="8"/>
      <c r="M298" s="8"/>
      <c r="N298" s="8"/>
      <c r="O298" s="8"/>
      <c r="P298" s="8"/>
    </row>
    <row r="299" spans="1:16" x14ac:dyDescent="0.4">
      <c r="A299" s="8"/>
      <c r="B299" s="35"/>
      <c r="C299" s="35"/>
      <c r="D299" s="35"/>
      <c r="E299" s="35"/>
      <c r="F299" s="35"/>
      <c r="G299" s="35"/>
      <c r="H299" s="8"/>
      <c r="I299" s="35"/>
      <c r="J299" s="8"/>
      <c r="K299" s="8"/>
      <c r="L299" s="8"/>
      <c r="M299" s="8"/>
      <c r="N299" s="8"/>
      <c r="O299" s="8"/>
      <c r="P299" s="8"/>
    </row>
    <row r="300" spans="1:16" x14ac:dyDescent="0.4">
      <c r="A300" s="8"/>
      <c r="B300" s="35"/>
      <c r="C300" s="35"/>
      <c r="D300" s="35"/>
      <c r="E300" s="35"/>
      <c r="F300" s="35"/>
      <c r="G300" s="35"/>
      <c r="H300" s="8"/>
      <c r="I300" s="35"/>
      <c r="J300" s="8"/>
      <c r="K300" s="8"/>
      <c r="L300" s="8"/>
      <c r="M300" s="8"/>
      <c r="N300" s="8"/>
      <c r="O300" s="8"/>
      <c r="P300" s="8"/>
    </row>
    <row r="301" spans="1:16" x14ac:dyDescent="0.4">
      <c r="A301" s="8"/>
      <c r="B301" s="35"/>
      <c r="C301" s="35"/>
      <c r="D301" s="35"/>
      <c r="E301" s="35"/>
      <c r="F301" s="35"/>
      <c r="G301" s="35"/>
      <c r="H301" s="8"/>
      <c r="I301" s="35"/>
      <c r="J301" s="8"/>
      <c r="K301" s="8"/>
      <c r="L301" s="8"/>
      <c r="M301" s="8"/>
      <c r="N301" s="8"/>
      <c r="O301" s="8"/>
      <c r="P301" s="8"/>
    </row>
    <row r="302" spans="1:16" x14ac:dyDescent="0.4">
      <c r="A302" s="8"/>
      <c r="B302" s="35"/>
      <c r="C302" s="35"/>
      <c r="D302" s="35"/>
      <c r="E302" s="35"/>
      <c r="F302" s="35"/>
      <c r="G302" s="35"/>
      <c r="H302" s="8"/>
      <c r="I302" s="35"/>
      <c r="J302" s="8"/>
      <c r="K302" s="8"/>
      <c r="L302" s="8"/>
      <c r="M302" s="8"/>
      <c r="N302" s="8"/>
      <c r="O302" s="8"/>
      <c r="P302" s="8"/>
    </row>
    <row r="303" spans="1:16" x14ac:dyDescent="0.4">
      <c r="A303" s="8"/>
      <c r="B303" s="35"/>
      <c r="C303" s="35"/>
      <c r="D303" s="35"/>
      <c r="E303" s="35"/>
      <c r="F303" s="35"/>
      <c r="G303" s="35"/>
      <c r="H303" s="8"/>
      <c r="I303" s="35"/>
      <c r="J303" s="8"/>
      <c r="K303" s="8"/>
      <c r="L303" s="8"/>
      <c r="M303" s="8"/>
      <c r="N303" s="8"/>
      <c r="O303" s="8"/>
      <c r="P303" s="8"/>
    </row>
    <row r="304" spans="1:16" x14ac:dyDescent="0.4">
      <c r="A304" s="8"/>
      <c r="B304" s="35"/>
      <c r="C304" s="35"/>
      <c r="D304" s="35"/>
      <c r="E304" s="35"/>
      <c r="F304" s="35"/>
      <c r="G304" s="35"/>
      <c r="H304" s="8"/>
      <c r="I304" s="35"/>
      <c r="J304" s="8"/>
      <c r="K304" s="8"/>
      <c r="L304" s="8"/>
      <c r="M304" s="8"/>
      <c r="N304" s="8"/>
      <c r="O304" s="8"/>
      <c r="P304" s="8"/>
    </row>
    <row r="305" spans="1:16" x14ac:dyDescent="0.4">
      <c r="A305" s="8"/>
      <c r="B305" s="35"/>
      <c r="C305" s="35"/>
      <c r="D305" s="35"/>
      <c r="E305" s="35"/>
      <c r="F305" s="35"/>
      <c r="G305" s="35"/>
      <c r="H305" s="8"/>
      <c r="I305" s="35"/>
      <c r="J305" s="8"/>
      <c r="K305" s="8"/>
      <c r="L305" s="8"/>
      <c r="M305" s="8"/>
      <c r="N305" s="8"/>
      <c r="O305" s="8"/>
      <c r="P305" s="8"/>
    </row>
    <row r="306" spans="1:16" x14ac:dyDescent="0.4">
      <c r="A306" s="8"/>
      <c r="B306" s="35"/>
      <c r="C306" s="35"/>
      <c r="D306" s="35"/>
      <c r="E306" s="35"/>
      <c r="F306" s="35"/>
      <c r="G306" s="35"/>
      <c r="H306" s="8"/>
      <c r="I306" s="35"/>
      <c r="J306" s="8"/>
      <c r="K306" s="8"/>
      <c r="L306" s="8"/>
      <c r="M306" s="8"/>
      <c r="N306" s="8"/>
      <c r="O306" s="8"/>
      <c r="P306" s="8"/>
    </row>
    <row r="307" spans="1:16" x14ac:dyDescent="0.4">
      <c r="A307" s="8"/>
      <c r="B307" s="35"/>
      <c r="C307" s="35"/>
      <c r="D307" s="35"/>
      <c r="E307" s="35"/>
      <c r="F307" s="35"/>
      <c r="G307" s="35"/>
      <c r="H307" s="8"/>
      <c r="I307" s="35"/>
      <c r="J307" s="8"/>
      <c r="K307" s="8"/>
      <c r="L307" s="8"/>
      <c r="M307" s="8"/>
      <c r="N307" s="8"/>
      <c r="O307" s="8"/>
      <c r="P307" s="8"/>
    </row>
    <row r="308" spans="1:16" x14ac:dyDescent="0.4">
      <c r="A308" s="8"/>
      <c r="B308" s="35"/>
      <c r="C308" s="35"/>
      <c r="D308" s="35"/>
      <c r="E308" s="35"/>
      <c r="F308" s="35"/>
      <c r="G308" s="35"/>
      <c r="H308" s="8"/>
      <c r="I308" s="35"/>
      <c r="J308" s="8"/>
      <c r="K308" s="8"/>
      <c r="L308" s="8"/>
      <c r="M308" s="8"/>
      <c r="N308" s="8"/>
      <c r="O308" s="8"/>
      <c r="P308" s="8"/>
    </row>
    <row r="309" spans="1:16" x14ac:dyDescent="0.4">
      <c r="A309" s="8"/>
      <c r="B309" s="35"/>
      <c r="C309" s="35"/>
      <c r="D309" s="35"/>
      <c r="E309" s="35"/>
      <c r="F309" s="35"/>
      <c r="G309" s="35"/>
      <c r="H309" s="8"/>
      <c r="I309" s="35"/>
      <c r="J309" s="8"/>
      <c r="K309" s="8"/>
      <c r="L309" s="8"/>
      <c r="M309" s="8"/>
      <c r="N309" s="8"/>
      <c r="O309" s="8"/>
      <c r="P309" s="8"/>
    </row>
    <row r="310" spans="1:16" x14ac:dyDescent="0.4">
      <c r="A310" s="8"/>
      <c r="B310" s="35"/>
      <c r="C310" s="35"/>
      <c r="D310" s="35"/>
      <c r="E310" s="35"/>
      <c r="F310" s="35"/>
      <c r="G310" s="35"/>
      <c r="H310" s="8"/>
      <c r="I310" s="35"/>
      <c r="J310" s="8"/>
      <c r="K310" s="8"/>
      <c r="L310" s="8"/>
      <c r="M310" s="8"/>
      <c r="N310" s="8"/>
      <c r="O310" s="8"/>
      <c r="P310" s="8"/>
    </row>
    <row r="311" spans="1:16" x14ac:dyDescent="0.4">
      <c r="A311" s="8"/>
      <c r="B311" s="35"/>
      <c r="C311" s="35"/>
      <c r="D311" s="35"/>
      <c r="E311" s="35"/>
      <c r="F311" s="35"/>
      <c r="G311" s="35"/>
      <c r="H311" s="8"/>
      <c r="I311" s="35"/>
      <c r="J311" s="8"/>
      <c r="K311" s="8"/>
      <c r="L311" s="8"/>
      <c r="M311" s="8"/>
      <c r="N311" s="8"/>
      <c r="O311" s="8"/>
      <c r="P311" s="8"/>
    </row>
    <row r="312" spans="1:16" x14ac:dyDescent="0.4">
      <c r="A312" s="8"/>
      <c r="B312" s="35"/>
      <c r="C312" s="35"/>
      <c r="D312" s="35"/>
      <c r="E312" s="35"/>
      <c r="F312" s="35"/>
      <c r="G312" s="35"/>
      <c r="H312" s="8"/>
      <c r="I312" s="35"/>
      <c r="J312" s="8"/>
      <c r="K312" s="8"/>
      <c r="L312" s="8"/>
      <c r="M312" s="8"/>
      <c r="N312" s="8"/>
      <c r="O312" s="8"/>
      <c r="P312" s="8"/>
    </row>
    <row r="313" spans="1:16" x14ac:dyDescent="0.4">
      <c r="A313" s="8"/>
      <c r="B313" s="35"/>
      <c r="C313" s="35"/>
      <c r="D313" s="35"/>
      <c r="E313" s="35"/>
      <c r="F313" s="35"/>
      <c r="G313" s="35"/>
      <c r="H313" s="8"/>
      <c r="I313" s="35"/>
      <c r="J313" s="8"/>
      <c r="K313" s="8"/>
      <c r="L313" s="8"/>
      <c r="M313" s="8"/>
      <c r="N313" s="8"/>
      <c r="O313" s="8"/>
      <c r="P313" s="8"/>
    </row>
    <row r="314" spans="1:16" x14ac:dyDescent="0.4">
      <c r="A314" s="8"/>
      <c r="B314" s="35"/>
      <c r="C314" s="35"/>
      <c r="D314" s="35"/>
      <c r="E314" s="35"/>
      <c r="F314" s="35"/>
      <c r="G314" s="35"/>
      <c r="H314" s="8"/>
      <c r="I314" s="35"/>
      <c r="J314" s="8"/>
      <c r="K314" s="8"/>
      <c r="L314" s="8"/>
      <c r="M314" s="8"/>
      <c r="N314" s="8"/>
      <c r="O314" s="8"/>
      <c r="P314" s="8"/>
    </row>
    <row r="315" spans="1:16" x14ac:dyDescent="0.4">
      <c r="A315" s="8"/>
      <c r="B315" s="35"/>
      <c r="C315" s="35"/>
      <c r="D315" s="35"/>
      <c r="E315" s="35"/>
      <c r="F315" s="35"/>
      <c r="G315" s="35"/>
      <c r="H315" s="8"/>
      <c r="I315" s="35"/>
      <c r="J315" s="8"/>
      <c r="K315" s="8"/>
      <c r="L315" s="8"/>
      <c r="M315" s="8"/>
      <c r="N315" s="8"/>
      <c r="O315" s="8"/>
      <c r="P315" s="8"/>
    </row>
    <row r="316" spans="1:16" x14ac:dyDescent="0.4">
      <c r="A316" s="8"/>
      <c r="B316" s="35"/>
      <c r="C316" s="35"/>
      <c r="D316" s="35"/>
      <c r="E316" s="35"/>
      <c r="F316" s="35"/>
      <c r="G316" s="35"/>
      <c r="H316" s="8"/>
      <c r="I316" s="35"/>
      <c r="J316" s="8"/>
      <c r="K316" s="8"/>
      <c r="L316" s="8"/>
      <c r="M316" s="8"/>
      <c r="N316" s="8"/>
      <c r="O316" s="8"/>
      <c r="P316" s="8"/>
    </row>
    <row r="317" spans="1:16" x14ac:dyDescent="0.4">
      <c r="A317" s="8"/>
      <c r="B317" s="35"/>
      <c r="C317" s="35"/>
      <c r="D317" s="35"/>
      <c r="E317" s="35"/>
      <c r="F317" s="35"/>
      <c r="G317" s="35"/>
      <c r="H317" s="8"/>
      <c r="I317" s="35"/>
      <c r="J317" s="8"/>
      <c r="K317" s="8"/>
      <c r="L317" s="8"/>
      <c r="M317" s="8"/>
      <c r="N317" s="8"/>
      <c r="O317" s="8"/>
      <c r="P317" s="8"/>
    </row>
    <row r="318" spans="1:16" x14ac:dyDescent="0.4">
      <c r="A318" s="8"/>
      <c r="B318" s="35"/>
      <c r="C318" s="35"/>
      <c r="D318" s="35"/>
      <c r="E318" s="35"/>
      <c r="F318" s="35"/>
      <c r="G318" s="35"/>
      <c r="H318" s="8"/>
      <c r="I318" s="35"/>
      <c r="J318" s="8"/>
      <c r="K318" s="8"/>
      <c r="L318" s="8"/>
      <c r="M318" s="8"/>
      <c r="N318" s="8"/>
      <c r="O318" s="8"/>
      <c r="P318" s="8"/>
    </row>
    <row r="319" spans="1:16" x14ac:dyDescent="0.4">
      <c r="A319" s="8"/>
      <c r="B319" s="35"/>
      <c r="C319" s="35"/>
      <c r="D319" s="35"/>
      <c r="E319" s="35"/>
      <c r="F319" s="35"/>
      <c r="G319" s="35"/>
      <c r="H319" s="8"/>
      <c r="I319" s="35"/>
      <c r="J319" s="8"/>
      <c r="K319" s="8"/>
      <c r="L319" s="8"/>
      <c r="M319" s="8"/>
      <c r="N319" s="8"/>
      <c r="O319" s="8"/>
      <c r="P319" s="8"/>
    </row>
    <row r="320" spans="1:16" x14ac:dyDescent="0.4">
      <c r="A320" s="8"/>
      <c r="B320" s="35"/>
      <c r="C320" s="35"/>
      <c r="D320" s="35"/>
      <c r="E320" s="35"/>
      <c r="F320" s="35"/>
      <c r="G320" s="35"/>
      <c r="H320" s="8"/>
      <c r="I320" s="35"/>
      <c r="J320" s="8"/>
      <c r="K320" s="8"/>
      <c r="L320" s="8"/>
      <c r="M320" s="8"/>
      <c r="N320" s="8"/>
      <c r="O320" s="8"/>
      <c r="P320" s="8"/>
    </row>
    <row r="321" spans="1:16" x14ac:dyDescent="0.4">
      <c r="A321" s="8"/>
      <c r="B321" s="35"/>
      <c r="C321" s="35"/>
      <c r="D321" s="35"/>
      <c r="E321" s="35"/>
      <c r="F321" s="35"/>
      <c r="G321" s="35"/>
      <c r="H321" s="8"/>
      <c r="I321" s="35"/>
      <c r="J321" s="8"/>
      <c r="K321" s="8"/>
      <c r="L321" s="8"/>
      <c r="M321" s="8"/>
      <c r="N321" s="8"/>
      <c r="O321" s="8"/>
      <c r="P321" s="8"/>
    </row>
    <row r="322" spans="1:16" x14ac:dyDescent="0.4">
      <c r="A322" s="8"/>
      <c r="B322" s="35"/>
      <c r="C322" s="35"/>
      <c r="D322" s="35"/>
      <c r="E322" s="35"/>
      <c r="F322" s="35"/>
      <c r="G322" s="35"/>
      <c r="H322" s="8"/>
      <c r="I322" s="35"/>
      <c r="J322" s="8"/>
      <c r="K322" s="8"/>
      <c r="L322" s="8"/>
      <c r="M322" s="8"/>
      <c r="N322" s="8"/>
      <c r="O322" s="8"/>
      <c r="P322" s="8"/>
    </row>
    <row r="323" spans="1:16" x14ac:dyDescent="0.4">
      <c r="A323" s="8"/>
      <c r="B323" s="35"/>
      <c r="C323" s="35"/>
      <c r="D323" s="35"/>
      <c r="E323" s="35"/>
      <c r="F323" s="35"/>
      <c r="G323" s="35"/>
      <c r="H323" s="8"/>
      <c r="I323" s="35"/>
      <c r="J323" s="8"/>
      <c r="K323" s="8"/>
      <c r="L323" s="8"/>
      <c r="M323" s="8"/>
      <c r="N323" s="8"/>
      <c r="O323" s="8"/>
      <c r="P323" s="8"/>
    </row>
    <row r="324" spans="1:16" x14ac:dyDescent="0.4">
      <c r="A324" s="8"/>
      <c r="B324" s="35"/>
      <c r="C324" s="35"/>
      <c r="D324" s="35"/>
      <c r="E324" s="35"/>
      <c r="F324" s="35"/>
      <c r="G324" s="35"/>
      <c r="H324" s="8"/>
      <c r="I324" s="35"/>
      <c r="J324" s="8"/>
      <c r="K324" s="8"/>
      <c r="L324" s="8"/>
      <c r="M324" s="8"/>
      <c r="N324" s="8"/>
      <c r="O324" s="8"/>
      <c r="P324" s="8"/>
    </row>
    <row r="325" spans="1:16" x14ac:dyDescent="0.4">
      <c r="A325" s="8"/>
      <c r="B325" s="35"/>
      <c r="C325" s="35"/>
      <c r="D325" s="35"/>
      <c r="E325" s="35"/>
      <c r="F325" s="35"/>
      <c r="G325" s="35"/>
      <c r="H325" s="8"/>
      <c r="I325" s="35"/>
      <c r="J325" s="8"/>
      <c r="K325" s="8"/>
      <c r="L325" s="8"/>
      <c r="M325" s="8"/>
      <c r="N325" s="8"/>
      <c r="O325" s="8"/>
      <c r="P325" s="8"/>
    </row>
    <row r="326" spans="1:16" x14ac:dyDescent="0.4">
      <c r="A326" s="8"/>
      <c r="B326" s="35"/>
      <c r="C326" s="35"/>
      <c r="D326" s="35"/>
      <c r="E326" s="35"/>
      <c r="F326" s="35"/>
      <c r="G326" s="35"/>
      <c r="H326" s="8"/>
      <c r="I326" s="35"/>
      <c r="J326" s="8"/>
      <c r="K326" s="8"/>
      <c r="L326" s="8"/>
      <c r="M326" s="8"/>
      <c r="N326" s="8"/>
      <c r="O326" s="8"/>
      <c r="P326" s="8"/>
    </row>
    <row r="327" spans="1:16" x14ac:dyDescent="0.4">
      <c r="A327" s="8"/>
      <c r="B327" s="35"/>
      <c r="C327" s="35"/>
      <c r="D327" s="35"/>
      <c r="E327" s="35"/>
      <c r="F327" s="35"/>
      <c r="G327" s="35"/>
      <c r="H327" s="8"/>
      <c r="I327" s="35"/>
      <c r="J327" s="8"/>
      <c r="K327" s="8"/>
      <c r="L327" s="8"/>
      <c r="M327" s="8"/>
      <c r="N327" s="8"/>
      <c r="O327" s="8"/>
      <c r="P327" s="8"/>
    </row>
    <row r="328" spans="1:16" x14ac:dyDescent="0.4">
      <c r="A328" s="8"/>
      <c r="B328" s="35"/>
      <c r="C328" s="35"/>
      <c r="D328" s="35"/>
      <c r="E328" s="35"/>
      <c r="F328" s="35"/>
      <c r="G328" s="35"/>
      <c r="H328" s="8"/>
      <c r="I328" s="35"/>
      <c r="J328" s="8"/>
      <c r="K328" s="8"/>
      <c r="L328" s="8"/>
      <c r="M328" s="8"/>
      <c r="N328" s="8"/>
      <c r="O328" s="8"/>
      <c r="P328" s="8"/>
    </row>
    <row r="329" spans="1:16" x14ac:dyDescent="0.4">
      <c r="A329" s="8"/>
      <c r="B329" s="35"/>
      <c r="C329" s="35"/>
      <c r="D329" s="35"/>
      <c r="E329" s="35"/>
      <c r="F329" s="35"/>
      <c r="G329" s="35"/>
      <c r="H329" s="8"/>
      <c r="I329" s="35"/>
      <c r="J329" s="8"/>
      <c r="K329" s="8"/>
      <c r="L329" s="8"/>
      <c r="M329" s="8"/>
      <c r="N329" s="8"/>
      <c r="O329" s="8"/>
      <c r="P329" s="8"/>
    </row>
    <row r="330" spans="1:16" x14ac:dyDescent="0.4">
      <c r="A330" s="8"/>
      <c r="B330" s="35"/>
      <c r="C330" s="35"/>
      <c r="D330" s="35"/>
      <c r="E330" s="35"/>
      <c r="F330" s="35"/>
      <c r="G330" s="35"/>
      <c r="H330" s="8"/>
      <c r="I330" s="35"/>
      <c r="J330" s="8"/>
      <c r="K330" s="8"/>
      <c r="L330" s="8"/>
      <c r="M330" s="8"/>
      <c r="N330" s="8"/>
      <c r="O330" s="8"/>
      <c r="P330" s="8"/>
    </row>
    <row r="331" spans="1:16" x14ac:dyDescent="0.4">
      <c r="A331" s="8"/>
      <c r="B331" s="35"/>
      <c r="C331" s="35"/>
      <c r="D331" s="35"/>
      <c r="E331" s="35"/>
      <c r="F331" s="35"/>
      <c r="G331" s="35"/>
      <c r="H331" s="8"/>
      <c r="I331" s="35"/>
      <c r="J331" s="8"/>
      <c r="K331" s="8"/>
      <c r="L331" s="8"/>
      <c r="M331" s="8"/>
      <c r="N331" s="8"/>
      <c r="O331" s="8"/>
      <c r="P331" s="8"/>
    </row>
    <row r="332" spans="1:16" x14ac:dyDescent="0.4">
      <c r="A332" s="8"/>
      <c r="B332" s="35"/>
      <c r="C332" s="35"/>
      <c r="D332" s="35"/>
      <c r="E332" s="35"/>
      <c r="F332" s="35"/>
      <c r="G332" s="35"/>
      <c r="H332" s="8"/>
      <c r="I332" s="35"/>
      <c r="J332" s="8"/>
      <c r="K332" s="8"/>
      <c r="L332" s="8"/>
      <c r="M332" s="8"/>
      <c r="N332" s="8"/>
      <c r="O332" s="8"/>
      <c r="P332" s="8"/>
    </row>
    <row r="333" spans="1:16" x14ac:dyDescent="0.4">
      <c r="A333" s="8"/>
      <c r="B333" s="35"/>
      <c r="C333" s="35"/>
      <c r="D333" s="35"/>
      <c r="E333" s="35"/>
      <c r="F333" s="35"/>
      <c r="G333" s="35"/>
      <c r="H333" s="8"/>
      <c r="I333" s="35"/>
      <c r="J333" s="8"/>
      <c r="K333" s="8"/>
      <c r="L333" s="8"/>
      <c r="M333" s="8"/>
      <c r="N333" s="8"/>
      <c r="O333" s="8"/>
      <c r="P333" s="8"/>
    </row>
    <row r="334" spans="1:16" x14ac:dyDescent="0.4">
      <c r="A334" s="8"/>
      <c r="B334" s="35"/>
      <c r="C334" s="35"/>
      <c r="D334" s="35"/>
      <c r="E334" s="35"/>
      <c r="F334" s="35"/>
      <c r="G334" s="35"/>
      <c r="H334" s="8"/>
      <c r="I334" s="35"/>
      <c r="J334" s="8"/>
      <c r="K334" s="8"/>
      <c r="L334" s="8"/>
      <c r="M334" s="8"/>
      <c r="N334" s="8"/>
      <c r="O334" s="8"/>
      <c r="P334" s="8"/>
    </row>
    <row r="335" spans="1:16" x14ac:dyDescent="0.4">
      <c r="A335" s="8"/>
      <c r="B335" s="35"/>
      <c r="C335" s="35"/>
      <c r="D335" s="35"/>
      <c r="E335" s="35"/>
      <c r="F335" s="35"/>
      <c r="G335" s="35"/>
      <c r="H335" s="8"/>
      <c r="I335" s="35"/>
      <c r="J335" s="8"/>
      <c r="K335" s="8"/>
      <c r="L335" s="8"/>
      <c r="M335" s="8"/>
      <c r="N335" s="8"/>
      <c r="O335" s="8"/>
      <c r="P335" s="8"/>
    </row>
    <row r="336" spans="1:16" x14ac:dyDescent="0.4">
      <c r="A336" s="8"/>
      <c r="B336" s="35"/>
      <c r="C336" s="35"/>
      <c r="D336" s="35"/>
      <c r="E336" s="35"/>
      <c r="F336" s="35"/>
      <c r="G336" s="35"/>
      <c r="H336" s="8"/>
      <c r="I336" s="35"/>
      <c r="J336" s="8"/>
      <c r="K336" s="8"/>
      <c r="L336" s="8"/>
      <c r="M336" s="8"/>
      <c r="N336" s="8"/>
      <c r="O336" s="8"/>
      <c r="P336" s="8"/>
    </row>
    <row r="337" spans="1:16" x14ac:dyDescent="0.4">
      <c r="A337" s="8"/>
      <c r="B337" s="35"/>
      <c r="C337" s="35"/>
      <c r="D337" s="35"/>
      <c r="E337" s="35"/>
      <c r="F337" s="35"/>
      <c r="G337" s="35"/>
      <c r="H337" s="8"/>
      <c r="I337" s="35"/>
      <c r="J337" s="8"/>
      <c r="K337" s="8"/>
      <c r="L337" s="8"/>
      <c r="M337" s="8"/>
      <c r="N337" s="8"/>
      <c r="O337" s="8"/>
      <c r="P337" s="8"/>
    </row>
    <row r="338" spans="1:16" x14ac:dyDescent="0.4">
      <c r="A338" s="8"/>
      <c r="B338" s="35"/>
      <c r="C338" s="35"/>
      <c r="D338" s="35"/>
      <c r="E338" s="35"/>
      <c r="F338" s="35"/>
      <c r="G338" s="35"/>
      <c r="H338" s="8"/>
      <c r="I338" s="35"/>
      <c r="J338" s="8"/>
      <c r="K338" s="8"/>
      <c r="L338" s="8"/>
      <c r="M338" s="8"/>
      <c r="N338" s="8"/>
      <c r="O338" s="8"/>
      <c r="P338" s="8"/>
    </row>
    <row r="339" spans="1:16" x14ac:dyDescent="0.4">
      <c r="A339" s="8"/>
      <c r="B339" s="35"/>
      <c r="C339" s="35"/>
      <c r="D339" s="35"/>
      <c r="E339" s="35"/>
      <c r="F339" s="35"/>
      <c r="G339" s="35"/>
      <c r="H339" s="8"/>
      <c r="I339" s="35"/>
      <c r="J339" s="8"/>
      <c r="K339" s="8"/>
      <c r="L339" s="8"/>
      <c r="M339" s="8"/>
      <c r="N339" s="8"/>
      <c r="O339" s="8"/>
      <c r="P339" s="8"/>
    </row>
    <row r="340" spans="1:16" x14ac:dyDescent="0.4">
      <c r="A340" s="8"/>
      <c r="B340" s="35"/>
      <c r="C340" s="35"/>
      <c r="D340" s="35"/>
      <c r="E340" s="35"/>
      <c r="F340" s="35"/>
      <c r="G340" s="35"/>
      <c r="H340" s="8"/>
      <c r="I340" s="35"/>
      <c r="J340" s="8"/>
      <c r="K340" s="8"/>
      <c r="L340" s="8"/>
      <c r="M340" s="8"/>
      <c r="N340" s="8"/>
      <c r="O340" s="8"/>
      <c r="P340" s="8"/>
    </row>
    <row r="341" spans="1:16" x14ac:dyDescent="0.4">
      <c r="A341" s="8"/>
      <c r="B341" s="35"/>
      <c r="C341" s="35"/>
      <c r="D341" s="35"/>
      <c r="E341" s="35"/>
      <c r="F341" s="35"/>
      <c r="G341" s="35"/>
      <c r="H341" s="8"/>
      <c r="I341" s="35"/>
      <c r="J341" s="8"/>
      <c r="K341" s="8"/>
      <c r="L341" s="8"/>
      <c r="M341" s="8"/>
      <c r="N341" s="8"/>
      <c r="O341" s="8"/>
      <c r="P341" s="8"/>
    </row>
    <row r="342" spans="1:16" x14ac:dyDescent="0.4">
      <c r="A342" s="8"/>
      <c r="B342" s="35"/>
      <c r="C342" s="35"/>
      <c r="D342" s="35"/>
      <c r="E342" s="35"/>
      <c r="F342" s="35"/>
      <c r="G342" s="35"/>
      <c r="H342" s="8"/>
      <c r="I342" s="35"/>
      <c r="J342" s="8"/>
      <c r="K342" s="8"/>
      <c r="L342" s="8"/>
      <c r="M342" s="8"/>
      <c r="N342" s="8"/>
      <c r="O342" s="8"/>
      <c r="P342" s="8"/>
    </row>
    <row r="343" spans="1:16" x14ac:dyDescent="0.4">
      <c r="A343" s="8"/>
      <c r="B343" s="35"/>
      <c r="C343" s="35"/>
      <c r="D343" s="35"/>
      <c r="E343" s="35"/>
      <c r="F343" s="35"/>
      <c r="G343" s="35"/>
      <c r="H343" s="8"/>
      <c r="I343" s="35"/>
      <c r="J343" s="8"/>
      <c r="K343" s="8"/>
      <c r="L343" s="8"/>
      <c r="M343" s="8"/>
      <c r="N343" s="8"/>
      <c r="O343" s="8"/>
      <c r="P343" s="8"/>
    </row>
    <row r="344" spans="1:16" x14ac:dyDescent="0.4">
      <c r="A344" s="8"/>
      <c r="B344" s="35"/>
      <c r="C344" s="35"/>
      <c r="D344" s="35"/>
      <c r="E344" s="35"/>
      <c r="F344" s="35"/>
      <c r="G344" s="35"/>
      <c r="H344" s="8"/>
      <c r="I344" s="35"/>
      <c r="J344" s="8"/>
      <c r="K344" s="8"/>
      <c r="L344" s="8"/>
      <c r="M344" s="8"/>
      <c r="N344" s="8"/>
      <c r="O344" s="8"/>
      <c r="P344" s="8"/>
    </row>
    <row r="345" spans="1:16" x14ac:dyDescent="0.4">
      <c r="A345" s="8"/>
      <c r="B345" s="35"/>
      <c r="C345" s="35"/>
      <c r="D345" s="35"/>
      <c r="E345" s="35"/>
      <c r="F345" s="35"/>
      <c r="G345" s="35"/>
      <c r="H345" s="8"/>
      <c r="I345" s="35"/>
      <c r="J345" s="8"/>
      <c r="K345" s="8"/>
      <c r="L345" s="8"/>
      <c r="M345" s="8"/>
      <c r="N345" s="8"/>
      <c r="O345" s="8"/>
      <c r="P345" s="8"/>
    </row>
    <row r="346" spans="1:16" x14ac:dyDescent="0.4">
      <c r="A346" s="8"/>
      <c r="B346" s="35"/>
      <c r="C346" s="35"/>
      <c r="D346" s="35"/>
      <c r="E346" s="35"/>
      <c r="F346" s="35"/>
      <c r="G346" s="35"/>
      <c r="H346" s="8"/>
      <c r="I346" s="35"/>
      <c r="J346" s="8"/>
      <c r="K346" s="8"/>
      <c r="L346" s="8"/>
      <c r="M346" s="8"/>
      <c r="N346" s="8"/>
      <c r="O346" s="8"/>
      <c r="P346" s="8"/>
    </row>
    <row r="347" spans="1:16" x14ac:dyDescent="0.4">
      <c r="A347" s="8"/>
      <c r="B347" s="35"/>
      <c r="C347" s="35"/>
      <c r="D347" s="35"/>
      <c r="E347" s="35"/>
      <c r="F347" s="35"/>
      <c r="G347" s="35"/>
      <c r="H347" s="8"/>
      <c r="I347" s="35"/>
      <c r="J347" s="8"/>
      <c r="K347" s="8"/>
      <c r="L347" s="8"/>
      <c r="M347" s="8"/>
      <c r="N347" s="8"/>
      <c r="O347" s="8"/>
      <c r="P347" s="8"/>
    </row>
    <row r="348" spans="1:16" x14ac:dyDescent="0.4">
      <c r="A348" s="8"/>
      <c r="B348" s="35"/>
      <c r="C348" s="35"/>
      <c r="D348" s="35"/>
      <c r="E348" s="35"/>
      <c r="F348" s="35"/>
      <c r="G348" s="35"/>
      <c r="H348" s="8"/>
      <c r="I348" s="35"/>
      <c r="J348" s="8"/>
      <c r="K348" s="8"/>
      <c r="L348" s="8"/>
      <c r="M348" s="8"/>
      <c r="N348" s="8"/>
      <c r="O348" s="8"/>
      <c r="P348" s="8"/>
    </row>
    <row r="349" spans="1:16" x14ac:dyDescent="0.4">
      <c r="A349" s="8"/>
      <c r="B349" s="35"/>
      <c r="C349" s="35"/>
      <c r="D349" s="35"/>
      <c r="E349" s="35"/>
      <c r="F349" s="35"/>
      <c r="G349" s="35"/>
      <c r="H349" s="8"/>
      <c r="I349" s="35"/>
      <c r="J349" s="8"/>
      <c r="K349" s="8"/>
      <c r="L349" s="8"/>
      <c r="M349" s="8"/>
      <c r="N349" s="8"/>
      <c r="O349" s="8"/>
      <c r="P349" s="8"/>
    </row>
    <row r="350" spans="1:16" x14ac:dyDescent="0.4">
      <c r="A350" s="8"/>
      <c r="B350" s="35"/>
      <c r="C350" s="35"/>
      <c r="D350" s="35"/>
      <c r="E350" s="35"/>
      <c r="F350" s="35"/>
      <c r="G350" s="35"/>
      <c r="H350" s="8"/>
      <c r="I350" s="35"/>
      <c r="J350" s="8"/>
      <c r="K350" s="8"/>
      <c r="L350" s="8"/>
      <c r="M350" s="8"/>
      <c r="N350" s="8"/>
      <c r="O350" s="8"/>
      <c r="P350" s="8"/>
    </row>
    <row r="351" spans="1:16" x14ac:dyDescent="0.4">
      <c r="A351" s="8"/>
      <c r="B351" s="35"/>
      <c r="C351" s="35"/>
      <c r="D351" s="35"/>
      <c r="E351" s="35"/>
      <c r="F351" s="35"/>
      <c r="G351" s="35"/>
      <c r="H351" s="8"/>
      <c r="I351" s="35"/>
      <c r="J351" s="8"/>
      <c r="K351" s="8"/>
      <c r="L351" s="8"/>
      <c r="M351" s="8"/>
      <c r="N351" s="8"/>
      <c r="O351" s="8"/>
      <c r="P351" s="8"/>
    </row>
    <row r="352" spans="1:16" x14ac:dyDescent="0.4">
      <c r="A352" s="8"/>
      <c r="B352" s="35"/>
      <c r="C352" s="35"/>
      <c r="D352" s="35"/>
      <c r="E352" s="35"/>
      <c r="F352" s="35"/>
      <c r="G352" s="35"/>
      <c r="H352" s="8"/>
      <c r="I352" s="35"/>
      <c r="J352" s="8"/>
      <c r="K352" s="8"/>
      <c r="L352" s="8"/>
      <c r="M352" s="8"/>
      <c r="N352" s="8"/>
      <c r="O352" s="8"/>
      <c r="P352" s="8"/>
    </row>
    <row r="353" spans="1:16" x14ac:dyDescent="0.4">
      <c r="A353" s="8"/>
      <c r="B353" s="35"/>
      <c r="C353" s="35"/>
      <c r="D353" s="35"/>
      <c r="E353" s="35"/>
      <c r="F353" s="35"/>
      <c r="G353" s="35"/>
      <c r="H353" s="8"/>
      <c r="I353" s="35"/>
      <c r="J353" s="8"/>
      <c r="K353" s="8"/>
      <c r="L353" s="8"/>
      <c r="M353" s="8"/>
      <c r="N353" s="8"/>
      <c r="O353" s="8"/>
      <c r="P353" s="8"/>
    </row>
    <row r="354" spans="1:16" x14ac:dyDescent="0.4">
      <c r="A354" s="8"/>
      <c r="B354" s="35"/>
      <c r="C354" s="35"/>
      <c r="D354" s="35"/>
      <c r="E354" s="35"/>
      <c r="F354" s="35"/>
      <c r="G354" s="35"/>
      <c r="H354" s="8"/>
      <c r="I354" s="35"/>
      <c r="J354" s="8"/>
      <c r="K354" s="8"/>
      <c r="L354" s="8"/>
      <c r="M354" s="8"/>
      <c r="N354" s="8"/>
      <c r="O354" s="8"/>
      <c r="P354" s="8"/>
    </row>
    <row r="355" spans="1:16" x14ac:dyDescent="0.4">
      <c r="A355" s="8"/>
      <c r="B355" s="35"/>
      <c r="C355" s="35"/>
      <c r="D355" s="35"/>
      <c r="E355" s="35"/>
      <c r="F355" s="35"/>
      <c r="G355" s="35"/>
      <c r="H355" s="8"/>
      <c r="I355" s="35"/>
      <c r="J355" s="8"/>
      <c r="K355" s="8"/>
      <c r="L355" s="8"/>
      <c r="M355" s="8"/>
      <c r="N355" s="8"/>
      <c r="O355" s="8"/>
      <c r="P355" s="8"/>
    </row>
    <row r="356" spans="1:16" x14ac:dyDescent="0.4">
      <c r="A356" s="8"/>
      <c r="B356" s="35"/>
      <c r="C356" s="35"/>
      <c r="D356" s="35"/>
      <c r="E356" s="35"/>
      <c r="F356" s="35"/>
      <c r="G356" s="35"/>
      <c r="H356" s="8"/>
      <c r="I356" s="35"/>
      <c r="J356" s="8"/>
      <c r="K356" s="8"/>
      <c r="L356" s="8"/>
      <c r="M356" s="8"/>
      <c r="N356" s="8"/>
      <c r="O356" s="8"/>
      <c r="P356" s="8"/>
    </row>
    <row r="357" spans="1:16" x14ac:dyDescent="0.4">
      <c r="A357" s="8"/>
      <c r="B357" s="35"/>
      <c r="C357" s="35"/>
      <c r="D357" s="35"/>
      <c r="E357" s="35"/>
      <c r="F357" s="35"/>
      <c r="G357" s="35"/>
      <c r="H357" s="8"/>
      <c r="I357" s="35"/>
      <c r="J357" s="8"/>
      <c r="K357" s="8"/>
      <c r="L357" s="8"/>
      <c r="M357" s="8"/>
      <c r="N357" s="8"/>
      <c r="O357" s="8"/>
      <c r="P357" s="8"/>
    </row>
    <row r="358" spans="1:16" x14ac:dyDescent="0.4">
      <c r="A358" s="8"/>
      <c r="B358" s="35"/>
      <c r="C358" s="35"/>
      <c r="D358" s="35"/>
      <c r="E358" s="35"/>
      <c r="F358" s="35"/>
      <c r="G358" s="35"/>
      <c r="H358" s="8"/>
      <c r="I358" s="35"/>
      <c r="J358" s="8"/>
      <c r="K358" s="8"/>
      <c r="L358" s="8"/>
      <c r="M358" s="8"/>
      <c r="N358" s="8"/>
      <c r="O358" s="8"/>
      <c r="P358" s="8"/>
    </row>
    <row r="359" spans="1:16" x14ac:dyDescent="0.4">
      <c r="A359" s="8"/>
      <c r="B359" s="35"/>
      <c r="C359" s="35"/>
      <c r="D359" s="35"/>
      <c r="E359" s="35"/>
      <c r="F359" s="35"/>
      <c r="G359" s="35"/>
      <c r="H359" s="8"/>
      <c r="I359" s="35"/>
      <c r="J359" s="8"/>
      <c r="K359" s="8"/>
      <c r="L359" s="8"/>
      <c r="M359" s="8"/>
      <c r="N359" s="8"/>
      <c r="O359" s="8"/>
      <c r="P359" s="8"/>
    </row>
    <row r="360" spans="1:16" x14ac:dyDescent="0.4">
      <c r="A360" s="8"/>
      <c r="B360" s="35"/>
      <c r="C360" s="35"/>
      <c r="D360" s="35"/>
      <c r="E360" s="35"/>
      <c r="F360" s="35"/>
      <c r="G360" s="35"/>
      <c r="H360" s="8"/>
      <c r="I360" s="35"/>
      <c r="J360" s="8"/>
      <c r="K360" s="8"/>
      <c r="L360" s="8"/>
      <c r="M360" s="8"/>
      <c r="N360" s="8"/>
      <c r="O360" s="8"/>
      <c r="P360" s="8"/>
    </row>
    <row r="361" spans="1:16" x14ac:dyDescent="0.4">
      <c r="A361" s="8"/>
      <c r="B361" s="35"/>
      <c r="C361" s="35"/>
      <c r="D361" s="35"/>
      <c r="E361" s="35"/>
      <c r="F361" s="35"/>
      <c r="G361" s="35"/>
      <c r="H361" s="8"/>
      <c r="I361" s="35"/>
      <c r="J361" s="8"/>
      <c r="K361" s="8"/>
      <c r="L361" s="8"/>
      <c r="M361" s="8"/>
      <c r="N361" s="8"/>
      <c r="O361" s="8"/>
      <c r="P361" s="8"/>
    </row>
    <row r="362" spans="1:16" x14ac:dyDescent="0.4">
      <c r="A362" s="8"/>
      <c r="B362" s="35"/>
      <c r="C362" s="35"/>
      <c r="D362" s="35"/>
      <c r="E362" s="35"/>
      <c r="F362" s="35"/>
      <c r="G362" s="35"/>
      <c r="H362" s="8"/>
      <c r="I362" s="35"/>
      <c r="J362" s="8"/>
      <c r="K362" s="8"/>
      <c r="L362" s="8"/>
      <c r="M362" s="8"/>
      <c r="N362" s="8"/>
      <c r="O362" s="8"/>
      <c r="P362" s="8"/>
    </row>
    <row r="363" spans="1:16" x14ac:dyDescent="0.4">
      <c r="A363" s="8"/>
      <c r="B363" s="35"/>
      <c r="C363" s="35"/>
      <c r="D363" s="35"/>
      <c r="E363" s="35"/>
      <c r="F363" s="35"/>
      <c r="G363" s="35"/>
      <c r="H363" s="8"/>
      <c r="I363" s="35"/>
      <c r="J363" s="8"/>
      <c r="K363" s="8"/>
      <c r="L363" s="8"/>
      <c r="M363" s="8"/>
      <c r="N363" s="8"/>
      <c r="O363" s="8"/>
      <c r="P363" s="8"/>
    </row>
    <row r="364" spans="1:16" x14ac:dyDescent="0.4">
      <c r="A364" s="8"/>
      <c r="B364" s="35"/>
      <c r="C364" s="35"/>
      <c r="D364" s="35"/>
      <c r="E364" s="35"/>
      <c r="F364" s="35"/>
      <c r="G364" s="35"/>
      <c r="H364" s="8"/>
      <c r="I364" s="35"/>
      <c r="J364" s="8"/>
      <c r="K364" s="8"/>
      <c r="L364" s="8"/>
      <c r="M364" s="8"/>
      <c r="N364" s="8"/>
      <c r="O364" s="8"/>
      <c r="P364" s="8"/>
    </row>
    <row r="365" spans="1:16" x14ac:dyDescent="0.4">
      <c r="A365" s="8"/>
      <c r="B365" s="35"/>
      <c r="C365" s="35"/>
      <c r="D365" s="35"/>
      <c r="E365" s="35"/>
      <c r="F365" s="35"/>
      <c r="G365" s="35"/>
      <c r="H365" s="8"/>
      <c r="I365" s="35"/>
      <c r="J365" s="8"/>
      <c r="K365" s="8"/>
      <c r="L365" s="8"/>
      <c r="M365" s="8"/>
      <c r="N365" s="8"/>
      <c r="O365" s="8"/>
      <c r="P365" s="8"/>
    </row>
    <row r="366" spans="1:16" x14ac:dyDescent="0.4">
      <c r="A366" s="8"/>
      <c r="B366" s="35"/>
      <c r="C366" s="35"/>
      <c r="D366" s="35"/>
      <c r="E366" s="35"/>
      <c r="F366" s="35"/>
      <c r="G366" s="35"/>
      <c r="H366" s="8"/>
      <c r="I366" s="35"/>
      <c r="J366" s="8"/>
      <c r="K366" s="8"/>
      <c r="L366" s="8"/>
      <c r="M366" s="8"/>
      <c r="N366" s="8"/>
      <c r="O366" s="8"/>
      <c r="P366" s="8"/>
    </row>
    <row r="367" spans="1:16" x14ac:dyDescent="0.4">
      <c r="A367" s="8"/>
      <c r="B367" s="35"/>
      <c r="C367" s="35"/>
      <c r="D367" s="35"/>
      <c r="E367" s="35"/>
      <c r="F367" s="35"/>
      <c r="G367" s="35"/>
      <c r="H367" s="8"/>
      <c r="I367" s="35"/>
      <c r="J367" s="8"/>
      <c r="K367" s="8"/>
      <c r="L367" s="8"/>
      <c r="M367" s="8"/>
      <c r="N367" s="8"/>
      <c r="O367" s="8"/>
      <c r="P367" s="8"/>
    </row>
    <row r="368" spans="1:16" x14ac:dyDescent="0.4">
      <c r="A368" s="8"/>
      <c r="B368" s="35"/>
      <c r="C368" s="35"/>
      <c r="D368" s="35"/>
      <c r="E368" s="35"/>
      <c r="F368" s="35"/>
      <c r="G368" s="35"/>
      <c r="H368" s="8"/>
      <c r="I368" s="35"/>
      <c r="J368" s="8"/>
      <c r="K368" s="8"/>
      <c r="L368" s="8"/>
      <c r="M368" s="8"/>
      <c r="N368" s="8"/>
      <c r="O368" s="8"/>
      <c r="P368" s="8"/>
    </row>
    <row r="369" spans="1:16" x14ac:dyDescent="0.4">
      <c r="A369" s="8"/>
      <c r="B369" s="35"/>
      <c r="C369" s="35"/>
      <c r="D369" s="35"/>
      <c r="E369" s="35"/>
      <c r="F369" s="35"/>
      <c r="G369" s="35"/>
      <c r="H369" s="8"/>
      <c r="I369" s="35"/>
      <c r="J369" s="8"/>
      <c r="K369" s="8"/>
      <c r="L369" s="8"/>
      <c r="M369" s="8"/>
      <c r="N369" s="8"/>
      <c r="O369" s="8"/>
      <c r="P369" s="8"/>
    </row>
    <row r="370" spans="1:16" x14ac:dyDescent="0.4">
      <c r="A370" s="8"/>
      <c r="B370" s="35"/>
      <c r="C370" s="35"/>
      <c r="D370" s="35"/>
      <c r="E370" s="35"/>
      <c r="F370" s="35"/>
      <c r="G370" s="35"/>
      <c r="H370" s="8"/>
      <c r="I370" s="35"/>
      <c r="J370" s="8"/>
      <c r="K370" s="8"/>
      <c r="L370" s="8"/>
      <c r="M370" s="8"/>
      <c r="N370" s="8"/>
      <c r="O370" s="8"/>
      <c r="P370" s="8"/>
    </row>
    <row r="371" spans="1:16" x14ac:dyDescent="0.4">
      <c r="A371" s="8"/>
      <c r="B371" s="35"/>
      <c r="C371" s="35"/>
      <c r="D371" s="35"/>
      <c r="E371" s="35"/>
      <c r="F371" s="35"/>
      <c r="G371" s="35"/>
      <c r="H371" s="8"/>
      <c r="I371" s="35"/>
      <c r="J371" s="8"/>
      <c r="K371" s="8"/>
      <c r="L371" s="8"/>
      <c r="M371" s="8"/>
      <c r="N371" s="8"/>
      <c r="O371" s="8"/>
      <c r="P371" s="8"/>
    </row>
    <row r="372" spans="1:16" x14ac:dyDescent="0.4">
      <c r="A372" s="8"/>
      <c r="B372" s="35"/>
      <c r="C372" s="35"/>
      <c r="D372" s="35"/>
      <c r="E372" s="35"/>
      <c r="F372" s="35"/>
      <c r="G372" s="35"/>
      <c r="H372" s="8"/>
      <c r="I372" s="35"/>
      <c r="J372" s="8"/>
      <c r="K372" s="8"/>
      <c r="L372" s="8"/>
      <c r="M372" s="8"/>
      <c r="N372" s="8"/>
      <c r="O372" s="8"/>
      <c r="P372" s="8"/>
    </row>
    <row r="373" spans="1:16" x14ac:dyDescent="0.4">
      <c r="A373" s="8"/>
      <c r="B373" s="35"/>
      <c r="C373" s="35"/>
      <c r="D373" s="35"/>
      <c r="E373" s="35"/>
      <c r="F373" s="35"/>
      <c r="G373" s="35"/>
      <c r="H373" s="8"/>
      <c r="I373" s="35"/>
      <c r="J373" s="8"/>
      <c r="K373" s="8"/>
      <c r="L373" s="8"/>
      <c r="M373" s="8"/>
      <c r="N373" s="8"/>
      <c r="O373" s="8"/>
      <c r="P373" s="8"/>
    </row>
    <row r="374" spans="1:16" x14ac:dyDescent="0.4">
      <c r="A374" s="8"/>
      <c r="B374" s="35"/>
      <c r="C374" s="35"/>
      <c r="D374" s="35"/>
      <c r="E374" s="35"/>
      <c r="F374" s="35"/>
      <c r="G374" s="35"/>
      <c r="H374" s="8"/>
      <c r="I374" s="35"/>
      <c r="J374" s="8"/>
      <c r="K374" s="8"/>
      <c r="L374" s="8"/>
      <c r="M374" s="8"/>
      <c r="N374" s="8"/>
      <c r="O374" s="8"/>
      <c r="P374" s="8"/>
    </row>
    <row r="375" spans="1:16" x14ac:dyDescent="0.4">
      <c r="A375" s="8"/>
      <c r="B375" s="35"/>
      <c r="C375" s="35"/>
      <c r="D375" s="35"/>
      <c r="E375" s="35"/>
      <c r="F375" s="35"/>
      <c r="G375" s="35"/>
      <c r="H375" s="8"/>
      <c r="I375" s="35"/>
      <c r="J375" s="8"/>
      <c r="K375" s="8"/>
      <c r="L375" s="8"/>
      <c r="M375" s="8"/>
      <c r="N375" s="8"/>
      <c r="O375" s="8"/>
      <c r="P375" s="8"/>
    </row>
    <row r="376" spans="1:16" x14ac:dyDescent="0.4">
      <c r="A376" s="8"/>
      <c r="B376" s="35"/>
      <c r="C376" s="35"/>
      <c r="D376" s="35"/>
      <c r="E376" s="35"/>
      <c r="F376" s="35"/>
      <c r="G376" s="35"/>
      <c r="H376" s="8"/>
      <c r="I376" s="35"/>
      <c r="J376" s="8"/>
      <c r="K376" s="8"/>
      <c r="L376" s="8"/>
      <c r="M376" s="8"/>
      <c r="N376" s="8"/>
      <c r="O376" s="8"/>
      <c r="P376" s="8"/>
    </row>
    <row r="377" spans="1:16" x14ac:dyDescent="0.4">
      <c r="A377" s="8"/>
      <c r="B377" s="35"/>
      <c r="C377" s="35"/>
      <c r="D377" s="35"/>
      <c r="E377" s="35"/>
      <c r="F377" s="35"/>
      <c r="G377" s="35"/>
      <c r="H377" s="8"/>
      <c r="I377" s="35"/>
      <c r="J377" s="8"/>
      <c r="K377" s="8"/>
      <c r="L377" s="8"/>
      <c r="M377" s="8"/>
      <c r="N377" s="8"/>
      <c r="O377" s="8"/>
      <c r="P377" s="8"/>
    </row>
    <row r="378" spans="1:16" x14ac:dyDescent="0.4">
      <c r="A378" s="8"/>
      <c r="B378" s="35"/>
      <c r="C378" s="35"/>
      <c r="D378" s="35"/>
      <c r="E378" s="35"/>
      <c r="F378" s="35"/>
      <c r="G378" s="35"/>
      <c r="H378" s="8"/>
      <c r="I378" s="35"/>
      <c r="J378" s="8"/>
      <c r="K378" s="8"/>
      <c r="L378" s="8"/>
      <c r="M378" s="8"/>
      <c r="N378" s="8"/>
      <c r="O378" s="8"/>
      <c r="P378" s="8"/>
    </row>
    <row r="379" spans="1:16" x14ac:dyDescent="0.4">
      <c r="A379" s="8"/>
      <c r="B379" s="35"/>
      <c r="C379" s="35"/>
      <c r="D379" s="35"/>
      <c r="E379" s="35"/>
      <c r="F379" s="35"/>
      <c r="G379" s="35"/>
      <c r="H379" s="8"/>
      <c r="I379" s="35"/>
      <c r="J379" s="8"/>
      <c r="K379" s="8"/>
      <c r="L379" s="8"/>
      <c r="M379" s="8"/>
      <c r="N379" s="8"/>
      <c r="O379" s="8"/>
      <c r="P379" s="8"/>
    </row>
    <row r="380" spans="1:16" x14ac:dyDescent="0.4">
      <c r="A380" s="8"/>
      <c r="B380" s="35"/>
      <c r="C380" s="35"/>
      <c r="D380" s="35"/>
      <c r="E380" s="35"/>
      <c r="F380" s="35"/>
      <c r="G380" s="35"/>
      <c r="H380" s="8"/>
      <c r="I380" s="35"/>
      <c r="J380" s="8"/>
      <c r="K380" s="8"/>
      <c r="L380" s="8"/>
      <c r="M380" s="8"/>
      <c r="N380" s="8"/>
      <c r="O380" s="8"/>
      <c r="P380" s="8"/>
    </row>
    <row r="381" spans="1:16" x14ac:dyDescent="0.4">
      <c r="A381" s="8"/>
      <c r="B381" s="35"/>
      <c r="C381" s="35"/>
      <c r="D381" s="35"/>
      <c r="E381" s="35"/>
      <c r="F381" s="35"/>
      <c r="G381" s="35"/>
      <c r="H381" s="8"/>
      <c r="I381" s="35"/>
      <c r="J381" s="8"/>
      <c r="K381" s="8"/>
      <c r="L381" s="8"/>
      <c r="M381" s="8"/>
      <c r="N381" s="8"/>
      <c r="O381" s="8"/>
      <c r="P381" s="8"/>
    </row>
    <row r="382" spans="1:16" x14ac:dyDescent="0.4">
      <c r="A382" s="8"/>
      <c r="B382" s="35"/>
      <c r="C382" s="35"/>
      <c r="D382" s="35"/>
      <c r="E382" s="35"/>
      <c r="F382" s="35"/>
      <c r="G382" s="35"/>
      <c r="H382" s="8"/>
      <c r="I382" s="35"/>
      <c r="J382" s="8"/>
      <c r="K382" s="8"/>
      <c r="L382" s="8"/>
      <c r="M382" s="8"/>
      <c r="N382" s="8"/>
      <c r="O382" s="8"/>
      <c r="P382" s="8"/>
    </row>
    <row r="383" spans="1:16" x14ac:dyDescent="0.4">
      <c r="A383" s="8"/>
      <c r="B383" s="35"/>
      <c r="C383" s="35"/>
      <c r="D383" s="35"/>
      <c r="E383" s="35"/>
      <c r="F383" s="35"/>
      <c r="G383" s="35"/>
      <c r="H383" s="8"/>
      <c r="I383" s="35"/>
      <c r="J383" s="8"/>
      <c r="K383" s="8"/>
      <c r="L383" s="8"/>
      <c r="M383" s="8"/>
      <c r="N383" s="8"/>
      <c r="O383" s="8"/>
      <c r="P383" s="8"/>
    </row>
    <row r="384" spans="1:16" x14ac:dyDescent="0.4">
      <c r="A384" s="8"/>
      <c r="B384" s="35"/>
      <c r="C384" s="35"/>
      <c r="D384" s="35"/>
      <c r="E384" s="35"/>
      <c r="F384" s="35"/>
      <c r="G384" s="35"/>
      <c r="H384" s="8"/>
      <c r="I384" s="35"/>
      <c r="J384" s="8"/>
      <c r="K384" s="8"/>
      <c r="L384" s="8"/>
      <c r="M384" s="8"/>
      <c r="N384" s="8"/>
      <c r="O384" s="8"/>
      <c r="P384" s="8"/>
    </row>
    <row r="385" spans="1:16" x14ac:dyDescent="0.4">
      <c r="A385" s="8"/>
      <c r="B385" s="35"/>
      <c r="C385" s="35"/>
      <c r="D385" s="35"/>
      <c r="E385" s="35"/>
      <c r="F385" s="35"/>
      <c r="G385" s="35"/>
      <c r="H385" s="8"/>
      <c r="I385" s="35"/>
      <c r="J385" s="8"/>
      <c r="K385" s="8"/>
      <c r="L385" s="8"/>
      <c r="M385" s="8"/>
      <c r="N385" s="8"/>
      <c r="O385" s="8"/>
      <c r="P385" s="8"/>
    </row>
    <row r="386" spans="1:16" x14ac:dyDescent="0.4">
      <c r="A386" s="8"/>
      <c r="B386" s="35"/>
      <c r="C386" s="35"/>
      <c r="D386" s="35"/>
      <c r="E386" s="35"/>
      <c r="F386" s="35"/>
      <c r="G386" s="35"/>
      <c r="H386" s="8"/>
      <c r="I386" s="35"/>
      <c r="J386" s="8"/>
      <c r="K386" s="8"/>
      <c r="L386" s="8"/>
      <c r="M386" s="8"/>
      <c r="N386" s="8"/>
      <c r="O386" s="8"/>
      <c r="P386" s="8"/>
    </row>
    <row r="387" spans="1:16" x14ac:dyDescent="0.4">
      <c r="A387" s="8"/>
      <c r="B387" s="35"/>
      <c r="C387" s="35"/>
      <c r="D387" s="35"/>
      <c r="E387" s="35"/>
      <c r="F387" s="35"/>
      <c r="G387" s="35"/>
      <c r="H387" s="8"/>
      <c r="I387" s="35"/>
      <c r="J387" s="8"/>
      <c r="K387" s="8"/>
      <c r="L387" s="8"/>
      <c r="M387" s="8"/>
      <c r="N387" s="8"/>
      <c r="O387" s="8"/>
      <c r="P387" s="8"/>
    </row>
    <row r="388" spans="1:16" x14ac:dyDescent="0.4">
      <c r="A388" s="8"/>
      <c r="B388" s="35"/>
      <c r="C388" s="35"/>
      <c r="D388" s="35"/>
      <c r="E388" s="35"/>
      <c r="F388" s="35"/>
      <c r="G388" s="35"/>
      <c r="H388" s="8"/>
      <c r="I388" s="35"/>
      <c r="J388" s="8"/>
      <c r="K388" s="8"/>
      <c r="L388" s="8"/>
      <c r="M388" s="8"/>
      <c r="N388" s="8"/>
      <c r="O388" s="8"/>
      <c r="P388" s="8"/>
    </row>
    <row r="389" spans="1:16" x14ac:dyDescent="0.4">
      <c r="A389" s="8"/>
      <c r="B389" s="35"/>
      <c r="C389" s="35"/>
      <c r="D389" s="35"/>
      <c r="E389" s="35"/>
      <c r="F389" s="35"/>
      <c r="G389" s="35"/>
      <c r="H389" s="8"/>
      <c r="I389" s="35"/>
      <c r="J389" s="8"/>
      <c r="K389" s="8"/>
      <c r="L389" s="8"/>
      <c r="M389" s="8"/>
      <c r="N389" s="8"/>
      <c r="O389" s="8"/>
      <c r="P389" s="8"/>
    </row>
    <row r="390" spans="1:16" x14ac:dyDescent="0.4">
      <c r="A390" s="8"/>
      <c r="B390" s="35"/>
      <c r="C390" s="35"/>
      <c r="D390" s="35"/>
      <c r="E390" s="35"/>
      <c r="F390" s="35"/>
      <c r="G390" s="35"/>
      <c r="H390" s="8"/>
      <c r="I390" s="35"/>
      <c r="J390" s="8"/>
      <c r="K390" s="8"/>
      <c r="L390" s="8"/>
      <c r="M390" s="8"/>
      <c r="N390" s="8"/>
      <c r="O390" s="8"/>
      <c r="P390" s="8"/>
    </row>
    <row r="391" spans="1:16" x14ac:dyDescent="0.4">
      <c r="A391" s="8"/>
      <c r="B391" s="35"/>
      <c r="C391" s="35"/>
      <c r="D391" s="35"/>
      <c r="E391" s="35"/>
      <c r="F391" s="35"/>
      <c r="G391" s="35"/>
      <c r="H391" s="8"/>
      <c r="I391" s="35"/>
      <c r="J391" s="8"/>
      <c r="K391" s="8"/>
      <c r="L391" s="8"/>
      <c r="M391" s="8"/>
      <c r="N391" s="8"/>
      <c r="O391" s="8"/>
      <c r="P391" s="8"/>
    </row>
    <row r="392" spans="1:16" x14ac:dyDescent="0.4">
      <c r="A392" s="8"/>
      <c r="B392" s="35"/>
      <c r="C392" s="35"/>
      <c r="D392" s="35"/>
      <c r="E392" s="35"/>
      <c r="F392" s="35"/>
      <c r="G392" s="35"/>
      <c r="H392" s="8"/>
      <c r="I392" s="35"/>
      <c r="J392" s="8"/>
      <c r="K392" s="8"/>
      <c r="L392" s="8"/>
      <c r="M392" s="8"/>
      <c r="N392" s="8"/>
      <c r="O392" s="8"/>
      <c r="P392" s="8"/>
    </row>
    <row r="393" spans="1:16" x14ac:dyDescent="0.4">
      <c r="A393" s="8"/>
      <c r="B393" s="35"/>
      <c r="C393" s="35"/>
      <c r="D393" s="35"/>
      <c r="E393" s="35"/>
      <c r="F393" s="35"/>
      <c r="G393" s="35"/>
      <c r="H393" s="8"/>
      <c r="I393" s="35"/>
      <c r="J393" s="8"/>
      <c r="K393" s="8"/>
      <c r="L393" s="8"/>
      <c r="M393" s="8"/>
      <c r="N393" s="8"/>
      <c r="O393" s="8"/>
      <c r="P393" s="8"/>
    </row>
    <row r="394" spans="1:16" x14ac:dyDescent="0.4">
      <c r="A394" s="8"/>
      <c r="B394" s="35"/>
      <c r="C394" s="35"/>
      <c r="D394" s="35"/>
      <c r="E394" s="35"/>
      <c r="F394" s="35"/>
      <c r="G394" s="35"/>
      <c r="H394" s="8"/>
      <c r="I394" s="35"/>
      <c r="J394" s="8"/>
      <c r="K394" s="8"/>
      <c r="L394" s="8"/>
      <c r="M394" s="8"/>
      <c r="N394" s="8"/>
      <c r="O394" s="8"/>
      <c r="P394" s="8"/>
    </row>
    <row r="395" spans="1:16" x14ac:dyDescent="0.4">
      <c r="A395" s="8"/>
      <c r="B395" s="35"/>
      <c r="C395" s="35"/>
      <c r="D395" s="35"/>
      <c r="E395" s="35"/>
      <c r="F395" s="35"/>
      <c r="G395" s="35"/>
      <c r="H395" s="8"/>
      <c r="I395" s="35"/>
      <c r="J395" s="8"/>
      <c r="K395" s="8"/>
      <c r="L395" s="8"/>
      <c r="M395" s="8"/>
      <c r="N395" s="8"/>
      <c r="O395" s="8"/>
      <c r="P395" s="8"/>
    </row>
    <row r="396" spans="1:16" x14ac:dyDescent="0.4">
      <c r="A396" s="8"/>
      <c r="B396" s="35"/>
      <c r="C396" s="35"/>
      <c r="D396" s="35"/>
      <c r="E396" s="35"/>
      <c r="F396" s="35"/>
      <c r="G396" s="35"/>
      <c r="H396" s="8"/>
      <c r="I396" s="35"/>
      <c r="J396" s="8"/>
      <c r="K396" s="8"/>
      <c r="L396" s="8"/>
      <c r="M396" s="8"/>
      <c r="N396" s="8"/>
      <c r="O396" s="8"/>
      <c r="P396" s="8"/>
    </row>
    <row r="397" spans="1:16" x14ac:dyDescent="0.4">
      <c r="A397" s="8"/>
      <c r="B397" s="35"/>
      <c r="C397" s="35"/>
      <c r="D397" s="35"/>
      <c r="E397" s="35"/>
      <c r="F397" s="35"/>
      <c r="G397" s="35"/>
      <c r="H397" s="8"/>
      <c r="I397" s="35"/>
      <c r="J397" s="8"/>
      <c r="K397" s="8"/>
      <c r="L397" s="8"/>
      <c r="M397" s="8"/>
      <c r="N397" s="8"/>
      <c r="O397" s="8"/>
      <c r="P397" s="8"/>
    </row>
    <row r="398" spans="1:16" x14ac:dyDescent="0.4">
      <c r="A398" s="8"/>
      <c r="B398" s="35"/>
      <c r="C398" s="35"/>
      <c r="D398" s="35"/>
      <c r="E398" s="35"/>
      <c r="F398" s="35"/>
      <c r="G398" s="35"/>
      <c r="H398" s="8"/>
      <c r="I398" s="35"/>
      <c r="J398" s="8"/>
      <c r="K398" s="8"/>
      <c r="L398" s="8"/>
      <c r="M398" s="8"/>
      <c r="N398" s="8"/>
      <c r="O398" s="8"/>
      <c r="P398" s="8"/>
    </row>
    <row r="399" spans="1:16" x14ac:dyDescent="0.4">
      <c r="A399" s="8"/>
      <c r="B399" s="35"/>
      <c r="C399" s="35"/>
      <c r="D399" s="35"/>
      <c r="E399" s="35"/>
      <c r="F399" s="35"/>
      <c r="G399" s="35"/>
      <c r="H399" s="8"/>
      <c r="I399" s="35"/>
      <c r="J399" s="8"/>
      <c r="K399" s="8"/>
      <c r="L399" s="8"/>
      <c r="M399" s="8"/>
      <c r="N399" s="8"/>
      <c r="O399" s="8"/>
      <c r="P399" s="8"/>
    </row>
    <row r="400" spans="1:16" x14ac:dyDescent="0.4">
      <c r="A400" s="8"/>
      <c r="B400" s="35"/>
      <c r="C400" s="35"/>
      <c r="D400" s="35"/>
      <c r="E400" s="35"/>
      <c r="F400" s="35"/>
      <c r="G400" s="35"/>
      <c r="H400" s="8"/>
      <c r="I400" s="35"/>
      <c r="J400" s="8"/>
      <c r="K400" s="8"/>
      <c r="L400" s="8"/>
      <c r="M400" s="8"/>
      <c r="N400" s="8"/>
      <c r="O400" s="8"/>
      <c r="P400" s="8"/>
    </row>
    <row r="401" spans="1:16" x14ac:dyDescent="0.4">
      <c r="A401" s="8"/>
      <c r="B401" s="35"/>
      <c r="C401" s="35"/>
      <c r="D401" s="35"/>
      <c r="E401" s="35"/>
      <c r="F401" s="35"/>
      <c r="G401" s="35"/>
      <c r="H401" s="8"/>
      <c r="I401" s="35"/>
      <c r="J401" s="8"/>
      <c r="K401" s="8"/>
      <c r="L401" s="8"/>
      <c r="M401" s="8"/>
      <c r="N401" s="8"/>
      <c r="O401" s="8"/>
      <c r="P401" s="8"/>
    </row>
    <row r="402" spans="1:16" x14ac:dyDescent="0.4">
      <c r="A402" s="8"/>
      <c r="B402" s="35"/>
      <c r="C402" s="35"/>
      <c r="D402" s="35"/>
      <c r="E402" s="35"/>
      <c r="F402" s="35"/>
      <c r="G402" s="35"/>
      <c r="H402" s="8"/>
      <c r="I402" s="35"/>
      <c r="J402" s="8"/>
      <c r="K402" s="8"/>
      <c r="L402" s="8"/>
      <c r="M402" s="8"/>
      <c r="N402" s="8"/>
      <c r="O402" s="8"/>
      <c r="P402" s="8"/>
    </row>
    <row r="403" spans="1:16" x14ac:dyDescent="0.4">
      <c r="A403" s="8"/>
      <c r="B403" s="35"/>
      <c r="C403" s="35"/>
      <c r="D403" s="35"/>
      <c r="E403" s="35"/>
      <c r="F403" s="35"/>
      <c r="G403" s="35"/>
      <c r="H403" s="8"/>
      <c r="I403" s="35"/>
      <c r="J403" s="8"/>
      <c r="K403" s="8"/>
      <c r="L403" s="8"/>
      <c r="M403" s="8"/>
      <c r="N403" s="8"/>
      <c r="O403" s="8"/>
      <c r="P403" s="8"/>
    </row>
    <row r="404" spans="1:16" x14ac:dyDescent="0.4">
      <c r="A404" s="8"/>
      <c r="B404" s="35"/>
      <c r="C404" s="35"/>
      <c r="D404" s="35"/>
      <c r="E404" s="35"/>
      <c r="F404" s="35"/>
      <c r="G404" s="35"/>
      <c r="H404" s="8"/>
      <c r="I404" s="35"/>
      <c r="J404" s="8"/>
      <c r="K404" s="8"/>
      <c r="L404" s="8"/>
      <c r="M404" s="8"/>
      <c r="N404" s="8"/>
      <c r="O404" s="8"/>
      <c r="P404" s="8"/>
    </row>
    <row r="405" spans="1:16" x14ac:dyDescent="0.4">
      <c r="A405" s="8"/>
      <c r="B405" s="35"/>
      <c r="C405" s="35"/>
      <c r="D405" s="35"/>
      <c r="E405" s="35"/>
      <c r="F405" s="35"/>
      <c r="G405" s="35"/>
      <c r="H405" s="8"/>
      <c r="I405" s="35"/>
      <c r="J405" s="8"/>
      <c r="K405" s="8"/>
      <c r="L405" s="8"/>
      <c r="M405" s="8"/>
      <c r="N405" s="8"/>
      <c r="O405" s="8"/>
      <c r="P405" s="8"/>
    </row>
    <row r="406" spans="1:16" x14ac:dyDescent="0.4">
      <c r="A406" s="8"/>
      <c r="B406" s="35"/>
      <c r="C406" s="35"/>
      <c r="D406" s="35"/>
      <c r="E406" s="35"/>
      <c r="F406" s="35"/>
      <c r="G406" s="35"/>
      <c r="H406" s="8"/>
      <c r="I406" s="35"/>
      <c r="J406" s="8"/>
      <c r="K406" s="8"/>
      <c r="L406" s="8"/>
      <c r="M406" s="8"/>
      <c r="N406" s="8"/>
      <c r="O406" s="8"/>
      <c r="P406" s="8"/>
    </row>
    <row r="407" spans="1:16" x14ac:dyDescent="0.4">
      <c r="A407" s="8"/>
      <c r="B407" s="35"/>
      <c r="C407" s="35"/>
      <c r="D407" s="35"/>
      <c r="E407" s="35"/>
      <c r="F407" s="35"/>
      <c r="G407" s="35"/>
      <c r="H407" s="8"/>
      <c r="I407" s="35"/>
      <c r="J407" s="8"/>
      <c r="K407" s="8"/>
      <c r="L407" s="8"/>
      <c r="M407" s="8"/>
      <c r="N407" s="8"/>
      <c r="O407" s="8"/>
      <c r="P407" s="8"/>
    </row>
    <row r="408" spans="1:16" x14ac:dyDescent="0.4">
      <c r="A408" s="8"/>
      <c r="B408" s="35"/>
      <c r="C408" s="35"/>
      <c r="D408" s="35"/>
      <c r="E408" s="35"/>
      <c r="F408" s="35"/>
      <c r="G408" s="35"/>
      <c r="H408" s="8"/>
      <c r="I408" s="35"/>
      <c r="J408" s="8"/>
      <c r="K408" s="8"/>
      <c r="L408" s="8"/>
      <c r="M408" s="8"/>
      <c r="N408" s="8"/>
      <c r="O408" s="8"/>
      <c r="P408" s="8"/>
    </row>
    <row r="409" spans="1:16" x14ac:dyDescent="0.4">
      <c r="A409" s="8"/>
      <c r="B409" s="35"/>
      <c r="C409" s="35"/>
      <c r="D409" s="35"/>
      <c r="E409" s="35"/>
      <c r="F409" s="35"/>
      <c r="G409" s="35"/>
      <c r="H409" s="8"/>
      <c r="I409" s="35"/>
      <c r="J409" s="8"/>
      <c r="K409" s="8"/>
      <c r="L409" s="8"/>
      <c r="M409" s="8"/>
      <c r="N409" s="8"/>
      <c r="O409" s="8"/>
      <c r="P409" s="8"/>
    </row>
    <row r="410" spans="1:16" x14ac:dyDescent="0.4">
      <c r="A410" s="8"/>
      <c r="B410" s="35"/>
      <c r="C410" s="35"/>
      <c r="D410" s="35"/>
      <c r="E410" s="35"/>
      <c r="F410" s="35"/>
      <c r="G410" s="35"/>
      <c r="H410" s="8"/>
      <c r="I410" s="35"/>
      <c r="J410" s="8"/>
      <c r="K410" s="8"/>
      <c r="L410" s="8"/>
      <c r="M410" s="8"/>
      <c r="N410" s="8"/>
      <c r="O410" s="8"/>
      <c r="P410" s="8"/>
    </row>
    <row r="411" spans="1:16" x14ac:dyDescent="0.4">
      <c r="A411" s="8"/>
      <c r="B411" s="35"/>
      <c r="C411" s="35"/>
      <c r="D411" s="35"/>
      <c r="E411" s="35"/>
      <c r="F411" s="35"/>
      <c r="G411" s="35"/>
      <c r="H411" s="8"/>
      <c r="I411" s="35"/>
      <c r="J411" s="8"/>
      <c r="K411" s="8"/>
      <c r="L411" s="8"/>
      <c r="M411" s="8"/>
      <c r="N411" s="8"/>
      <c r="O411" s="8"/>
      <c r="P411" s="8"/>
    </row>
    <row r="412" spans="1:16" x14ac:dyDescent="0.4">
      <c r="A412" s="8"/>
      <c r="B412" s="35"/>
      <c r="C412" s="35"/>
      <c r="D412" s="35"/>
      <c r="E412" s="35"/>
      <c r="F412" s="35"/>
      <c r="G412" s="35"/>
      <c r="H412" s="8"/>
      <c r="I412" s="35"/>
      <c r="J412" s="8"/>
      <c r="K412" s="8"/>
      <c r="L412" s="8"/>
      <c r="M412" s="8"/>
      <c r="N412" s="8"/>
      <c r="O412" s="8"/>
      <c r="P412" s="8"/>
    </row>
    <row r="413" spans="1:16" x14ac:dyDescent="0.4">
      <c r="A413" s="8"/>
      <c r="B413" s="35"/>
      <c r="C413" s="35"/>
      <c r="D413" s="35"/>
      <c r="E413" s="35"/>
      <c r="F413" s="35"/>
      <c r="G413" s="35"/>
      <c r="H413" s="8"/>
      <c r="I413" s="35"/>
      <c r="J413" s="8"/>
      <c r="K413" s="8"/>
      <c r="L413" s="8"/>
      <c r="M413" s="8"/>
      <c r="N413" s="8"/>
      <c r="O413" s="8"/>
      <c r="P413" s="8"/>
    </row>
    <row r="414" spans="1:16" x14ac:dyDescent="0.4">
      <c r="A414" s="8"/>
      <c r="B414" s="35"/>
      <c r="C414" s="35"/>
      <c r="D414" s="35"/>
      <c r="E414" s="35"/>
      <c r="F414" s="35"/>
      <c r="G414" s="35"/>
      <c r="H414" s="8"/>
      <c r="I414" s="35"/>
      <c r="J414" s="8"/>
      <c r="K414" s="8"/>
      <c r="L414" s="8"/>
      <c r="M414" s="8"/>
      <c r="N414" s="8"/>
      <c r="O414" s="8"/>
      <c r="P414" s="8"/>
    </row>
    <row r="415" spans="1:16" x14ac:dyDescent="0.4">
      <c r="A415" s="8"/>
      <c r="B415" s="35"/>
      <c r="C415" s="35"/>
      <c r="D415" s="35"/>
      <c r="E415" s="35"/>
      <c r="F415" s="35"/>
      <c r="G415" s="35"/>
      <c r="H415" s="8"/>
      <c r="I415" s="35"/>
      <c r="J415" s="8"/>
      <c r="K415" s="8"/>
      <c r="L415" s="8"/>
      <c r="M415" s="8"/>
      <c r="N415" s="8"/>
      <c r="O415" s="8"/>
      <c r="P415" s="8"/>
    </row>
    <row r="416" spans="1:16" x14ac:dyDescent="0.4">
      <c r="A416" s="8"/>
      <c r="B416" s="35"/>
      <c r="C416" s="35"/>
      <c r="D416" s="35"/>
      <c r="E416" s="35"/>
      <c r="F416" s="35"/>
      <c r="G416" s="35"/>
      <c r="H416" s="8"/>
      <c r="I416" s="35"/>
      <c r="J416" s="8"/>
      <c r="K416" s="8"/>
      <c r="L416" s="8"/>
      <c r="M416" s="8"/>
      <c r="N416" s="8"/>
      <c r="O416" s="8"/>
      <c r="P416" s="8"/>
    </row>
    <row r="417" spans="1:16" x14ac:dyDescent="0.4">
      <c r="A417" s="8"/>
      <c r="B417" s="35"/>
      <c r="C417" s="35"/>
      <c r="D417" s="35"/>
      <c r="E417" s="35"/>
      <c r="F417" s="35"/>
      <c r="G417" s="35"/>
      <c r="H417" s="8"/>
      <c r="I417" s="35"/>
      <c r="J417" s="8"/>
      <c r="K417" s="8"/>
      <c r="L417" s="8"/>
      <c r="M417" s="8"/>
      <c r="N417" s="8"/>
      <c r="O417" s="8"/>
      <c r="P417" s="8"/>
    </row>
    <row r="418" spans="1:16" x14ac:dyDescent="0.4">
      <c r="A418" s="8"/>
      <c r="B418" s="35"/>
      <c r="C418" s="35"/>
      <c r="D418" s="35"/>
      <c r="E418" s="35"/>
      <c r="F418" s="35"/>
      <c r="G418" s="35"/>
      <c r="H418" s="8"/>
      <c r="I418" s="35"/>
      <c r="J418" s="8"/>
      <c r="K418" s="8"/>
      <c r="L418" s="8"/>
      <c r="M418" s="8"/>
      <c r="N418" s="8"/>
      <c r="O418" s="8"/>
      <c r="P418" s="8"/>
    </row>
    <row r="419" spans="1:16" x14ac:dyDescent="0.4">
      <c r="A419" s="8"/>
      <c r="B419" s="35"/>
      <c r="C419" s="35"/>
      <c r="D419" s="35"/>
      <c r="E419" s="35"/>
      <c r="F419" s="35"/>
      <c r="G419" s="35"/>
      <c r="H419" s="8"/>
      <c r="I419" s="35"/>
      <c r="J419" s="8"/>
      <c r="K419" s="8"/>
      <c r="L419" s="8"/>
      <c r="M419" s="8"/>
      <c r="N419" s="8"/>
      <c r="O419" s="8"/>
      <c r="P419" s="8"/>
    </row>
    <row r="420" spans="1:16" x14ac:dyDescent="0.4">
      <c r="A420" s="8"/>
      <c r="B420" s="35"/>
      <c r="C420" s="35"/>
      <c r="D420" s="35"/>
      <c r="E420" s="35"/>
      <c r="F420" s="35"/>
      <c r="G420" s="35"/>
      <c r="H420" s="8"/>
      <c r="I420" s="35"/>
      <c r="J420" s="8"/>
      <c r="K420" s="8"/>
      <c r="L420" s="8"/>
      <c r="M420" s="8"/>
      <c r="N420" s="8"/>
      <c r="O420" s="8"/>
      <c r="P420" s="8"/>
    </row>
    <row r="421" spans="1:16" x14ac:dyDescent="0.4">
      <c r="A421" s="8"/>
      <c r="B421" s="35"/>
      <c r="C421" s="35"/>
      <c r="D421" s="35"/>
      <c r="E421" s="35"/>
      <c r="F421" s="35"/>
      <c r="G421" s="35"/>
      <c r="H421" s="8"/>
      <c r="I421" s="35"/>
      <c r="J421" s="8"/>
      <c r="K421" s="8"/>
      <c r="L421" s="8"/>
      <c r="M421" s="8"/>
      <c r="N421" s="8"/>
      <c r="O421" s="8"/>
      <c r="P421" s="8"/>
    </row>
    <row r="422" spans="1:16" x14ac:dyDescent="0.4">
      <c r="A422" s="8"/>
      <c r="B422" s="35"/>
      <c r="C422" s="35"/>
      <c r="D422" s="35"/>
      <c r="E422" s="35"/>
      <c r="F422" s="35"/>
      <c r="G422" s="35"/>
      <c r="H422" s="8"/>
      <c r="I422" s="35"/>
      <c r="J422" s="8"/>
      <c r="K422" s="8"/>
      <c r="L422" s="8"/>
      <c r="M422" s="8"/>
      <c r="N422" s="8"/>
      <c r="O422" s="8"/>
      <c r="P422" s="8"/>
    </row>
    <row r="423" spans="1:16" x14ac:dyDescent="0.4">
      <c r="A423" s="8"/>
      <c r="B423" s="35"/>
      <c r="C423" s="35"/>
      <c r="D423" s="35"/>
      <c r="E423" s="35"/>
      <c r="F423" s="35"/>
      <c r="G423" s="35"/>
      <c r="H423" s="8"/>
      <c r="I423" s="35"/>
      <c r="J423" s="8"/>
      <c r="K423" s="8"/>
      <c r="L423" s="8"/>
      <c r="M423" s="8"/>
      <c r="N423" s="8"/>
      <c r="O423" s="8"/>
      <c r="P423" s="8"/>
    </row>
    <row r="424" spans="1:16" x14ac:dyDescent="0.4">
      <c r="A424" s="8"/>
      <c r="B424" s="35"/>
      <c r="C424" s="35"/>
      <c r="D424" s="35"/>
      <c r="E424" s="35"/>
      <c r="F424" s="35"/>
      <c r="G424" s="35"/>
      <c r="H424" s="8"/>
      <c r="I424" s="35"/>
      <c r="J424" s="8"/>
      <c r="K424" s="8"/>
      <c r="L424" s="8"/>
      <c r="M424" s="8"/>
      <c r="N424" s="8"/>
      <c r="O424" s="8"/>
      <c r="P424" s="8"/>
    </row>
    <row r="425" spans="1:16" x14ac:dyDescent="0.4">
      <c r="A425" s="8"/>
      <c r="B425" s="35"/>
      <c r="C425" s="35"/>
      <c r="D425" s="35"/>
      <c r="E425" s="35"/>
      <c r="F425" s="35"/>
      <c r="G425" s="35"/>
      <c r="H425" s="8"/>
      <c r="I425" s="35"/>
      <c r="J425" s="8"/>
      <c r="K425" s="8"/>
      <c r="L425" s="8"/>
      <c r="M425" s="8"/>
      <c r="N425" s="8"/>
      <c r="O425" s="8"/>
      <c r="P425" s="8"/>
    </row>
    <row r="426" spans="1:16" x14ac:dyDescent="0.4">
      <c r="A426" s="8"/>
      <c r="B426" s="35"/>
      <c r="C426" s="35"/>
      <c r="D426" s="35"/>
      <c r="E426" s="35"/>
      <c r="F426" s="35"/>
      <c r="G426" s="35"/>
      <c r="H426" s="8"/>
      <c r="I426" s="35"/>
      <c r="J426" s="8"/>
      <c r="K426" s="8"/>
      <c r="L426" s="8"/>
      <c r="M426" s="8"/>
      <c r="N426" s="8"/>
      <c r="O426" s="8"/>
      <c r="P426" s="8"/>
    </row>
    <row r="427" spans="1:16" x14ac:dyDescent="0.4">
      <c r="A427" s="8"/>
      <c r="B427" s="35"/>
      <c r="C427" s="35"/>
      <c r="D427" s="35"/>
      <c r="E427" s="35"/>
      <c r="F427" s="35"/>
      <c r="G427" s="35"/>
      <c r="H427" s="8"/>
      <c r="I427" s="35"/>
      <c r="J427" s="8"/>
      <c r="K427" s="8"/>
      <c r="L427" s="8"/>
      <c r="M427" s="8"/>
      <c r="N427" s="8"/>
      <c r="O427" s="8"/>
      <c r="P427" s="8"/>
    </row>
    <row r="428" spans="1:16" x14ac:dyDescent="0.4">
      <c r="A428" s="8"/>
      <c r="B428" s="35"/>
      <c r="C428" s="35"/>
      <c r="D428" s="35"/>
      <c r="E428" s="35"/>
      <c r="F428" s="35"/>
      <c r="G428" s="35"/>
      <c r="H428" s="8"/>
      <c r="I428" s="35"/>
      <c r="J428" s="8"/>
      <c r="K428" s="8"/>
      <c r="L428" s="8"/>
      <c r="M428" s="8"/>
      <c r="N428" s="8"/>
      <c r="O428" s="8"/>
      <c r="P428" s="8"/>
    </row>
    <row r="429" spans="1:16" x14ac:dyDescent="0.4">
      <c r="A429" s="8"/>
      <c r="B429" s="35"/>
      <c r="C429" s="35"/>
      <c r="D429" s="35"/>
      <c r="E429" s="35"/>
      <c r="F429" s="35"/>
      <c r="G429" s="35"/>
      <c r="H429" s="8"/>
      <c r="I429" s="35"/>
      <c r="J429" s="8"/>
      <c r="K429" s="8"/>
      <c r="L429" s="8"/>
      <c r="M429" s="8"/>
      <c r="N429" s="8"/>
      <c r="O429" s="8"/>
      <c r="P429" s="8"/>
    </row>
    <row r="430" spans="1:16" x14ac:dyDescent="0.4">
      <c r="A430" s="8"/>
      <c r="B430" s="35"/>
      <c r="C430" s="35"/>
      <c r="D430" s="35"/>
      <c r="E430" s="35"/>
      <c r="F430" s="35"/>
      <c r="G430" s="35"/>
      <c r="H430" s="8"/>
      <c r="I430" s="35"/>
      <c r="J430" s="8"/>
      <c r="K430" s="8"/>
      <c r="L430" s="8"/>
      <c r="M430" s="8"/>
      <c r="N430" s="8"/>
      <c r="O430" s="8"/>
      <c r="P430" s="8"/>
    </row>
    <row r="431" spans="1:16" x14ac:dyDescent="0.4">
      <c r="A431" s="8"/>
      <c r="B431" s="35"/>
      <c r="C431" s="35"/>
      <c r="D431" s="35"/>
      <c r="E431" s="35"/>
      <c r="F431" s="35"/>
      <c r="G431" s="35"/>
      <c r="H431" s="8"/>
      <c r="I431" s="35"/>
      <c r="J431" s="8"/>
      <c r="K431" s="8"/>
      <c r="L431" s="8"/>
      <c r="M431" s="8"/>
      <c r="N431" s="8"/>
      <c r="O431" s="8"/>
      <c r="P431" s="8"/>
    </row>
    <row r="432" spans="1:16" x14ac:dyDescent="0.4">
      <c r="A432" s="8"/>
      <c r="B432" s="35"/>
      <c r="C432" s="35"/>
      <c r="D432" s="35"/>
      <c r="E432" s="35"/>
      <c r="F432" s="35"/>
      <c r="G432" s="35"/>
      <c r="H432" s="8"/>
      <c r="I432" s="35"/>
      <c r="J432" s="8"/>
      <c r="K432" s="8"/>
      <c r="L432" s="8"/>
      <c r="M432" s="8"/>
      <c r="N432" s="8"/>
      <c r="O432" s="8"/>
      <c r="P432" s="8"/>
    </row>
    <row r="433" spans="1:16" x14ac:dyDescent="0.4">
      <c r="A433" s="8"/>
      <c r="B433" s="35"/>
      <c r="C433" s="35"/>
      <c r="D433" s="35"/>
      <c r="E433" s="35"/>
      <c r="F433" s="35"/>
      <c r="G433" s="35"/>
      <c r="H433" s="8"/>
      <c r="I433" s="35"/>
      <c r="J433" s="8"/>
      <c r="K433" s="8"/>
      <c r="L433" s="8"/>
      <c r="M433" s="8"/>
      <c r="N433" s="8"/>
      <c r="O433" s="8"/>
      <c r="P433" s="8"/>
    </row>
    <row r="434" spans="1:16" x14ac:dyDescent="0.4">
      <c r="A434" s="8"/>
      <c r="B434" s="35"/>
      <c r="C434" s="35"/>
      <c r="D434" s="35"/>
      <c r="E434" s="35"/>
      <c r="F434" s="35"/>
      <c r="G434" s="35"/>
      <c r="H434" s="8"/>
      <c r="I434" s="35"/>
      <c r="J434" s="8"/>
      <c r="K434" s="8"/>
      <c r="L434" s="8"/>
      <c r="M434" s="8"/>
      <c r="N434" s="8"/>
      <c r="O434" s="8"/>
      <c r="P434" s="8"/>
    </row>
    <row r="435" spans="1:16" x14ac:dyDescent="0.4">
      <c r="A435" s="8"/>
      <c r="B435" s="35"/>
      <c r="C435" s="35"/>
      <c r="D435" s="35"/>
      <c r="E435" s="35"/>
      <c r="F435" s="35"/>
      <c r="G435" s="35"/>
      <c r="H435" s="8"/>
      <c r="I435" s="35"/>
      <c r="J435" s="8"/>
      <c r="K435" s="8"/>
      <c r="L435" s="8"/>
      <c r="M435" s="8"/>
      <c r="N435" s="8"/>
      <c r="O435" s="8"/>
      <c r="P435" s="8"/>
    </row>
    <row r="436" spans="1:16" x14ac:dyDescent="0.4">
      <c r="A436" s="8"/>
      <c r="B436" s="35"/>
      <c r="C436" s="35"/>
      <c r="D436" s="35"/>
      <c r="E436" s="35"/>
      <c r="F436" s="35"/>
      <c r="G436" s="35"/>
      <c r="H436" s="8"/>
      <c r="I436" s="35"/>
      <c r="J436" s="8"/>
      <c r="K436" s="8"/>
      <c r="L436" s="8"/>
      <c r="M436" s="8"/>
      <c r="N436" s="8"/>
      <c r="O436" s="8"/>
      <c r="P436" s="8"/>
    </row>
    <row r="437" spans="1:16" x14ac:dyDescent="0.4">
      <c r="A437" s="8"/>
      <c r="B437" s="35"/>
      <c r="C437" s="35"/>
      <c r="D437" s="35"/>
      <c r="E437" s="35"/>
      <c r="F437" s="35"/>
      <c r="G437" s="35"/>
      <c r="H437" s="8"/>
      <c r="I437" s="35"/>
      <c r="J437" s="8"/>
      <c r="K437" s="8"/>
      <c r="L437" s="8"/>
      <c r="M437" s="8"/>
      <c r="N437" s="8"/>
      <c r="O437" s="8"/>
      <c r="P437" s="8"/>
    </row>
    <row r="438" spans="1:16" x14ac:dyDescent="0.4">
      <c r="A438" s="8"/>
      <c r="B438" s="35"/>
      <c r="C438" s="35"/>
      <c r="D438" s="35"/>
      <c r="E438" s="35"/>
      <c r="F438" s="35"/>
      <c r="G438" s="35"/>
      <c r="H438" s="8"/>
      <c r="I438" s="35"/>
      <c r="J438" s="8"/>
      <c r="K438" s="8"/>
      <c r="L438" s="8"/>
      <c r="M438" s="8"/>
      <c r="N438" s="8"/>
      <c r="O438" s="8"/>
      <c r="P438" s="8"/>
    </row>
    <row r="439" spans="1:16" x14ac:dyDescent="0.4">
      <c r="A439" s="8"/>
      <c r="B439" s="35"/>
      <c r="C439" s="35"/>
      <c r="D439" s="35"/>
      <c r="E439" s="35"/>
      <c r="F439" s="35"/>
      <c r="G439" s="35"/>
      <c r="H439" s="8"/>
      <c r="I439" s="35"/>
      <c r="J439" s="8"/>
      <c r="K439" s="8"/>
      <c r="L439" s="8"/>
      <c r="M439" s="8"/>
      <c r="N439" s="8"/>
      <c r="O439" s="8"/>
      <c r="P439" s="8"/>
    </row>
    <row r="440" spans="1:16" x14ac:dyDescent="0.4">
      <c r="A440" s="8"/>
      <c r="B440" s="35"/>
      <c r="C440" s="35"/>
      <c r="D440" s="35"/>
      <c r="E440" s="35"/>
      <c r="F440" s="35"/>
      <c r="G440" s="35"/>
      <c r="H440" s="8"/>
      <c r="I440" s="35"/>
      <c r="J440" s="8"/>
      <c r="K440" s="8"/>
      <c r="L440" s="8"/>
      <c r="M440" s="8"/>
      <c r="N440" s="8"/>
      <c r="O440" s="8"/>
      <c r="P440" s="8"/>
    </row>
    <row r="441" spans="1:16" x14ac:dyDescent="0.4">
      <c r="A441" s="8"/>
      <c r="B441" s="35"/>
      <c r="C441" s="35"/>
      <c r="D441" s="35"/>
      <c r="E441" s="35"/>
      <c r="F441" s="35"/>
      <c r="G441" s="35"/>
      <c r="H441" s="8"/>
      <c r="I441" s="35"/>
      <c r="J441" s="8"/>
      <c r="K441" s="8"/>
      <c r="L441" s="8"/>
      <c r="M441" s="8"/>
      <c r="N441" s="8"/>
      <c r="O441" s="8"/>
      <c r="P441" s="8"/>
    </row>
    <row r="442" spans="1:16" x14ac:dyDescent="0.4">
      <c r="A442" s="8"/>
      <c r="B442" s="35"/>
      <c r="C442" s="35"/>
      <c r="D442" s="35"/>
      <c r="E442" s="35"/>
      <c r="F442" s="35"/>
      <c r="G442" s="35"/>
      <c r="H442" s="8"/>
      <c r="I442" s="35"/>
      <c r="J442" s="8"/>
      <c r="K442" s="8"/>
      <c r="L442" s="8"/>
      <c r="M442" s="8"/>
      <c r="N442" s="8"/>
      <c r="O442" s="8"/>
      <c r="P442" s="8"/>
    </row>
    <row r="443" spans="1:16" x14ac:dyDescent="0.4">
      <c r="A443" s="8"/>
      <c r="B443" s="35"/>
      <c r="C443" s="35"/>
      <c r="D443" s="35"/>
      <c r="E443" s="35"/>
      <c r="F443" s="35"/>
      <c r="G443" s="35"/>
      <c r="H443" s="8"/>
      <c r="I443" s="35"/>
      <c r="J443" s="8"/>
      <c r="K443" s="8"/>
      <c r="L443" s="8"/>
      <c r="M443" s="8"/>
      <c r="N443" s="8"/>
      <c r="O443" s="8"/>
      <c r="P443" s="8"/>
    </row>
    <row r="444" spans="1:16" x14ac:dyDescent="0.4">
      <c r="A444" s="8"/>
      <c r="B444" s="35"/>
      <c r="C444" s="35"/>
      <c r="D444" s="35"/>
      <c r="E444" s="35"/>
      <c r="F444" s="35"/>
      <c r="G444" s="35"/>
      <c r="H444" s="8"/>
      <c r="I444" s="35"/>
      <c r="J444" s="8"/>
      <c r="K444" s="8"/>
      <c r="L444" s="8"/>
      <c r="M444" s="8"/>
      <c r="N444" s="8"/>
      <c r="O444" s="8"/>
      <c r="P444" s="8"/>
    </row>
    <row r="445" spans="1:16" x14ac:dyDescent="0.4">
      <c r="A445" s="8"/>
      <c r="B445" s="35"/>
      <c r="C445" s="35"/>
      <c r="D445" s="35"/>
      <c r="E445" s="35"/>
      <c r="F445" s="35"/>
      <c r="G445" s="35"/>
      <c r="H445" s="8"/>
      <c r="I445" s="35"/>
      <c r="J445" s="8"/>
      <c r="K445" s="8"/>
      <c r="L445" s="8"/>
      <c r="M445" s="8"/>
      <c r="N445" s="8"/>
      <c r="O445" s="8"/>
      <c r="P445" s="8"/>
    </row>
    <row r="446" spans="1:16" x14ac:dyDescent="0.4">
      <c r="A446" s="8"/>
      <c r="B446" s="35"/>
      <c r="C446" s="35"/>
      <c r="D446" s="35"/>
      <c r="E446" s="35"/>
      <c r="F446" s="35"/>
      <c r="G446" s="35"/>
      <c r="H446" s="8"/>
      <c r="I446" s="35"/>
      <c r="J446" s="8"/>
      <c r="K446" s="8"/>
      <c r="L446" s="8"/>
      <c r="M446" s="8"/>
      <c r="N446" s="8"/>
      <c r="O446" s="8"/>
      <c r="P446" s="8"/>
    </row>
    <row r="447" spans="1:16" x14ac:dyDescent="0.4">
      <c r="A447" s="8"/>
      <c r="B447" s="35"/>
      <c r="C447" s="35"/>
      <c r="D447" s="35"/>
      <c r="E447" s="35"/>
      <c r="F447" s="35"/>
      <c r="G447" s="35"/>
      <c r="H447" s="8"/>
      <c r="I447" s="35"/>
      <c r="J447" s="8"/>
      <c r="K447" s="8"/>
      <c r="L447" s="8"/>
      <c r="M447" s="8"/>
      <c r="N447" s="8"/>
      <c r="O447" s="8"/>
      <c r="P447" s="8"/>
    </row>
    <row r="448" spans="1:16" x14ac:dyDescent="0.4">
      <c r="A448" s="8"/>
      <c r="B448" s="35"/>
      <c r="C448" s="35"/>
      <c r="D448" s="35"/>
      <c r="E448" s="35"/>
      <c r="F448" s="35"/>
      <c r="G448" s="35"/>
      <c r="H448" s="8"/>
      <c r="I448" s="35"/>
      <c r="J448" s="8"/>
      <c r="K448" s="8"/>
      <c r="L448" s="8"/>
      <c r="M448" s="8"/>
      <c r="N448" s="8"/>
      <c r="O448" s="8"/>
      <c r="P448" s="8"/>
    </row>
    <row r="449" spans="1:16" x14ac:dyDescent="0.4">
      <c r="A449" s="8"/>
      <c r="B449" s="35"/>
      <c r="C449" s="35"/>
      <c r="D449" s="35"/>
      <c r="E449" s="35"/>
      <c r="F449" s="35"/>
      <c r="G449" s="35"/>
      <c r="H449" s="8"/>
      <c r="I449" s="35"/>
      <c r="J449" s="8"/>
      <c r="K449" s="8"/>
      <c r="L449" s="8"/>
      <c r="M449" s="8"/>
      <c r="N449" s="8"/>
      <c r="O449" s="8"/>
      <c r="P449" s="8"/>
    </row>
    <row r="450" spans="1:16" x14ac:dyDescent="0.4">
      <c r="A450" s="8"/>
      <c r="B450" s="35"/>
      <c r="C450" s="35"/>
      <c r="D450" s="35"/>
      <c r="E450" s="35"/>
      <c r="F450" s="35"/>
      <c r="G450" s="35"/>
      <c r="H450" s="8"/>
      <c r="I450" s="35"/>
      <c r="J450" s="8"/>
      <c r="K450" s="8"/>
      <c r="L450" s="8"/>
      <c r="M450" s="8"/>
      <c r="N450" s="8"/>
      <c r="O450" s="8"/>
      <c r="P450" s="8"/>
    </row>
    <row r="451" spans="1:16" x14ac:dyDescent="0.4">
      <c r="A451" s="8"/>
      <c r="B451" s="35"/>
      <c r="C451" s="35"/>
      <c r="D451" s="35"/>
      <c r="E451" s="35"/>
      <c r="F451" s="35"/>
      <c r="G451" s="35"/>
      <c r="H451" s="8"/>
      <c r="I451" s="35"/>
      <c r="J451" s="8"/>
      <c r="K451" s="8"/>
      <c r="L451" s="8"/>
      <c r="M451" s="8"/>
      <c r="N451" s="8"/>
      <c r="O451" s="8"/>
      <c r="P451" s="8"/>
    </row>
    <row r="452" spans="1:16" x14ac:dyDescent="0.4">
      <c r="A452" s="8"/>
      <c r="B452" s="35"/>
      <c r="C452" s="35"/>
      <c r="D452" s="35"/>
      <c r="E452" s="35"/>
      <c r="F452" s="35"/>
      <c r="G452" s="35"/>
      <c r="H452" s="8"/>
      <c r="I452" s="35"/>
      <c r="J452" s="8"/>
      <c r="K452" s="8"/>
      <c r="L452" s="8"/>
      <c r="M452" s="8"/>
      <c r="N452" s="8"/>
      <c r="O452" s="8"/>
      <c r="P452" s="8"/>
    </row>
    <row r="453" spans="1:16" x14ac:dyDescent="0.4">
      <c r="A453" s="8"/>
      <c r="B453" s="35"/>
      <c r="C453" s="35"/>
      <c r="D453" s="35"/>
      <c r="E453" s="35"/>
      <c r="F453" s="35"/>
      <c r="G453" s="35"/>
      <c r="H453" s="8"/>
      <c r="I453" s="35"/>
      <c r="J453" s="8"/>
      <c r="K453" s="8"/>
      <c r="L453" s="8"/>
      <c r="M453" s="8"/>
      <c r="N453" s="8"/>
      <c r="O453" s="8"/>
      <c r="P453" s="8"/>
    </row>
    <row r="454" spans="1:16" x14ac:dyDescent="0.4">
      <c r="A454" s="8"/>
      <c r="B454" s="35"/>
      <c r="C454" s="35"/>
      <c r="D454" s="35"/>
      <c r="E454" s="35"/>
      <c r="F454" s="35"/>
      <c r="G454" s="35"/>
      <c r="H454" s="8"/>
      <c r="I454" s="35"/>
      <c r="J454" s="8"/>
      <c r="K454" s="8"/>
      <c r="L454" s="8"/>
      <c r="M454" s="8"/>
      <c r="N454" s="8"/>
      <c r="O454" s="8"/>
      <c r="P454" s="8"/>
    </row>
    <row r="455" spans="1:16" x14ac:dyDescent="0.4">
      <c r="A455" s="8"/>
      <c r="B455" s="35"/>
      <c r="C455" s="35"/>
      <c r="D455" s="35"/>
      <c r="E455" s="35"/>
      <c r="F455" s="35"/>
      <c r="G455" s="35"/>
      <c r="H455" s="8"/>
      <c r="I455" s="35"/>
      <c r="J455" s="8"/>
      <c r="K455" s="8"/>
      <c r="L455" s="8"/>
      <c r="M455" s="8"/>
      <c r="N455" s="8"/>
      <c r="O455" s="8"/>
      <c r="P455" s="8"/>
    </row>
    <row r="456" spans="1:16" x14ac:dyDescent="0.4">
      <c r="A456" s="8"/>
      <c r="B456" s="35"/>
      <c r="C456" s="35"/>
      <c r="D456" s="35"/>
      <c r="E456" s="35"/>
      <c r="F456" s="35"/>
      <c r="G456" s="35"/>
      <c r="H456" s="8"/>
      <c r="I456" s="35"/>
      <c r="J456" s="8"/>
      <c r="K456" s="8"/>
      <c r="L456" s="8"/>
      <c r="M456" s="8"/>
      <c r="N456" s="8"/>
      <c r="O456" s="8"/>
      <c r="P456" s="8"/>
    </row>
    <row r="457" spans="1:16" x14ac:dyDescent="0.4">
      <c r="A457" s="8"/>
      <c r="B457" s="35"/>
      <c r="C457" s="35"/>
      <c r="D457" s="35"/>
      <c r="E457" s="35"/>
      <c r="F457" s="35"/>
      <c r="G457" s="35"/>
      <c r="H457" s="8"/>
      <c r="I457" s="35"/>
      <c r="J457" s="8"/>
      <c r="K457" s="8"/>
      <c r="L457" s="8"/>
      <c r="M457" s="8"/>
      <c r="N457" s="8"/>
      <c r="O457" s="8"/>
      <c r="P457" s="8"/>
    </row>
    <row r="458" spans="1:16" x14ac:dyDescent="0.4">
      <c r="A458" s="8"/>
      <c r="B458" s="35"/>
      <c r="C458" s="35"/>
      <c r="D458" s="35"/>
      <c r="E458" s="35"/>
      <c r="F458" s="35"/>
      <c r="G458" s="35"/>
      <c r="H458" s="8"/>
      <c r="I458" s="35"/>
      <c r="J458" s="8"/>
      <c r="K458" s="8"/>
      <c r="L458" s="8"/>
      <c r="M458" s="8"/>
      <c r="N458" s="8"/>
      <c r="O458" s="8"/>
      <c r="P458" s="8"/>
    </row>
    <row r="459" spans="1:16" x14ac:dyDescent="0.4">
      <c r="A459" s="8"/>
      <c r="B459" s="35"/>
      <c r="C459" s="35"/>
      <c r="D459" s="35"/>
      <c r="E459" s="35"/>
      <c r="F459" s="35"/>
      <c r="G459" s="35"/>
      <c r="H459" s="8"/>
      <c r="I459" s="35"/>
      <c r="J459" s="8"/>
      <c r="K459" s="8"/>
      <c r="L459" s="8"/>
      <c r="M459" s="8"/>
      <c r="N459" s="8"/>
      <c r="O459" s="8"/>
      <c r="P459" s="8"/>
    </row>
    <row r="460" spans="1:16" x14ac:dyDescent="0.4">
      <c r="A460" s="8"/>
      <c r="B460" s="35"/>
      <c r="C460" s="35"/>
      <c r="D460" s="35"/>
      <c r="E460" s="35"/>
      <c r="F460" s="35"/>
      <c r="G460" s="35"/>
      <c r="H460" s="8"/>
      <c r="I460" s="35"/>
      <c r="J460" s="8"/>
      <c r="K460" s="8"/>
      <c r="L460" s="8"/>
      <c r="M460" s="8"/>
      <c r="N460" s="8"/>
      <c r="O460" s="8"/>
      <c r="P460" s="8"/>
    </row>
    <row r="461" spans="1:16" x14ac:dyDescent="0.4">
      <c r="A461" s="8"/>
      <c r="B461" s="35"/>
      <c r="C461" s="35"/>
      <c r="D461" s="35"/>
      <c r="E461" s="35"/>
      <c r="F461" s="35"/>
      <c r="G461" s="35"/>
      <c r="H461" s="8"/>
      <c r="I461" s="35"/>
      <c r="J461" s="8"/>
      <c r="K461" s="8"/>
      <c r="L461" s="8"/>
      <c r="M461" s="8"/>
      <c r="N461" s="8"/>
      <c r="O461" s="8"/>
      <c r="P461" s="8"/>
    </row>
    <row r="462" spans="1:16" x14ac:dyDescent="0.4">
      <c r="A462" s="8"/>
      <c r="B462" s="35"/>
      <c r="C462" s="35"/>
      <c r="D462" s="35"/>
      <c r="E462" s="35"/>
      <c r="F462" s="35"/>
      <c r="G462" s="35"/>
      <c r="H462" s="8"/>
      <c r="I462" s="35"/>
      <c r="J462" s="8"/>
      <c r="K462" s="8"/>
      <c r="L462" s="8"/>
      <c r="M462" s="8"/>
      <c r="N462" s="8"/>
      <c r="O462" s="8"/>
      <c r="P462" s="8"/>
    </row>
    <row r="463" spans="1:16" x14ac:dyDescent="0.4">
      <c r="A463" s="8"/>
      <c r="B463" s="35"/>
      <c r="C463" s="35"/>
      <c r="D463" s="35"/>
      <c r="E463" s="35"/>
      <c r="F463" s="35"/>
      <c r="G463" s="35"/>
      <c r="H463" s="8"/>
      <c r="I463" s="35"/>
      <c r="J463" s="8"/>
      <c r="K463" s="8"/>
      <c r="L463" s="8"/>
      <c r="M463" s="8"/>
      <c r="N463" s="8"/>
      <c r="O463" s="8"/>
      <c r="P463" s="8"/>
    </row>
    <row r="464" spans="1:16" x14ac:dyDescent="0.4">
      <c r="A464" s="8"/>
      <c r="B464" s="35"/>
      <c r="C464" s="35"/>
      <c r="D464" s="35"/>
      <c r="E464" s="35"/>
      <c r="F464" s="35"/>
      <c r="G464" s="35"/>
      <c r="H464" s="8"/>
      <c r="I464" s="35"/>
      <c r="J464" s="8"/>
      <c r="K464" s="8"/>
      <c r="L464" s="8"/>
      <c r="M464" s="8"/>
      <c r="N464" s="8"/>
      <c r="O464" s="8"/>
      <c r="P464" s="8"/>
    </row>
    <row r="465" spans="1:16" x14ac:dyDescent="0.4">
      <c r="A465" s="8"/>
      <c r="B465" s="35"/>
      <c r="C465" s="35"/>
      <c r="D465" s="35"/>
      <c r="E465" s="35"/>
      <c r="F465" s="35"/>
      <c r="G465" s="35"/>
      <c r="H465" s="8"/>
      <c r="I465" s="35"/>
      <c r="J465" s="8"/>
      <c r="K465" s="8"/>
      <c r="L465" s="8"/>
      <c r="M465" s="8"/>
      <c r="N465" s="8"/>
      <c r="O465" s="8"/>
      <c r="P465" s="8"/>
    </row>
    <row r="466" spans="1:16" x14ac:dyDescent="0.4">
      <c r="A466" s="8"/>
      <c r="B466" s="35"/>
      <c r="C466" s="35"/>
      <c r="D466" s="35"/>
      <c r="E466" s="35"/>
      <c r="F466" s="35"/>
      <c r="G466" s="35"/>
      <c r="H466" s="8"/>
      <c r="I466" s="35"/>
      <c r="J466" s="8"/>
      <c r="K466" s="8"/>
      <c r="L466" s="8"/>
      <c r="M466" s="8"/>
      <c r="N466" s="8"/>
      <c r="O466" s="8"/>
      <c r="P466" s="8"/>
    </row>
    <row r="467" spans="1:16" x14ac:dyDescent="0.4">
      <c r="A467" s="8"/>
      <c r="B467" s="35"/>
      <c r="C467" s="35"/>
      <c r="D467" s="35"/>
      <c r="E467" s="35"/>
      <c r="F467" s="35"/>
      <c r="G467" s="35"/>
      <c r="H467" s="8"/>
      <c r="I467" s="35"/>
      <c r="J467" s="8"/>
      <c r="K467" s="8"/>
      <c r="L467" s="8"/>
      <c r="M467" s="8"/>
      <c r="N467" s="8"/>
      <c r="O467" s="8"/>
      <c r="P467" s="8"/>
    </row>
    <row r="468" spans="1:16" x14ac:dyDescent="0.4">
      <c r="A468" s="8"/>
      <c r="B468" s="35"/>
      <c r="C468" s="35"/>
      <c r="D468" s="35"/>
      <c r="E468" s="35"/>
      <c r="F468" s="35"/>
      <c r="G468" s="35"/>
      <c r="H468" s="8"/>
      <c r="I468" s="35"/>
      <c r="J468" s="8"/>
      <c r="K468" s="8"/>
      <c r="L468" s="8"/>
      <c r="M468" s="8"/>
      <c r="N468" s="8"/>
      <c r="O468" s="8"/>
      <c r="P468" s="8"/>
    </row>
    <row r="469" spans="1:16" x14ac:dyDescent="0.4">
      <c r="A469" s="8"/>
      <c r="B469" s="35"/>
      <c r="C469" s="35"/>
      <c r="D469" s="35"/>
      <c r="E469" s="35"/>
      <c r="F469" s="35"/>
      <c r="G469" s="35"/>
      <c r="H469" s="8"/>
      <c r="I469" s="35"/>
      <c r="J469" s="8"/>
      <c r="K469" s="8"/>
      <c r="L469" s="8"/>
      <c r="M469" s="8"/>
      <c r="N469" s="8"/>
      <c r="O469" s="8"/>
      <c r="P469" s="8"/>
    </row>
    <row r="470" spans="1:16" x14ac:dyDescent="0.4">
      <c r="A470" s="8"/>
      <c r="B470" s="35"/>
      <c r="C470" s="35"/>
      <c r="D470" s="35"/>
      <c r="E470" s="35"/>
      <c r="F470" s="35"/>
      <c r="G470" s="35"/>
      <c r="H470" s="8"/>
      <c r="I470" s="35"/>
      <c r="J470" s="8"/>
      <c r="K470" s="8"/>
      <c r="L470" s="8"/>
      <c r="M470" s="8"/>
      <c r="N470" s="8"/>
      <c r="O470" s="8"/>
      <c r="P470" s="8"/>
    </row>
    <row r="471" spans="1:16" x14ac:dyDescent="0.4">
      <c r="A471" s="8"/>
      <c r="B471" s="35"/>
      <c r="C471" s="35"/>
      <c r="D471" s="35"/>
      <c r="E471" s="35"/>
      <c r="F471" s="35"/>
      <c r="G471" s="35"/>
      <c r="H471" s="8"/>
      <c r="I471" s="35"/>
      <c r="J471" s="8"/>
      <c r="K471" s="8"/>
      <c r="L471" s="8"/>
      <c r="M471" s="8"/>
      <c r="N471" s="8"/>
      <c r="O471" s="8"/>
      <c r="P471" s="8"/>
    </row>
    <row r="472" spans="1:16" x14ac:dyDescent="0.4">
      <c r="A472" s="8"/>
      <c r="B472" s="35"/>
      <c r="C472" s="35"/>
      <c r="D472" s="35"/>
      <c r="E472" s="35"/>
      <c r="F472" s="35"/>
      <c r="G472" s="35"/>
      <c r="H472" s="8"/>
      <c r="I472" s="35"/>
      <c r="J472" s="8"/>
      <c r="K472" s="8"/>
      <c r="L472" s="8"/>
      <c r="M472" s="8"/>
      <c r="N472" s="8"/>
      <c r="O472" s="8"/>
      <c r="P472" s="8"/>
    </row>
    <row r="473" spans="1:16" x14ac:dyDescent="0.4">
      <c r="A473" s="8"/>
      <c r="B473" s="35"/>
      <c r="C473" s="35"/>
      <c r="D473" s="35"/>
      <c r="E473" s="35"/>
      <c r="F473" s="35"/>
      <c r="G473" s="35"/>
      <c r="H473" s="8"/>
      <c r="I473" s="35"/>
      <c r="J473" s="8"/>
      <c r="K473" s="8"/>
      <c r="L473" s="8"/>
      <c r="M473" s="8"/>
      <c r="N473" s="8"/>
      <c r="O473" s="8"/>
      <c r="P473" s="8"/>
    </row>
    <row r="474" spans="1:16" x14ac:dyDescent="0.4">
      <c r="A474" s="8"/>
      <c r="B474" s="35"/>
      <c r="C474" s="35"/>
      <c r="D474" s="35"/>
      <c r="E474" s="35"/>
      <c r="F474" s="35"/>
      <c r="G474" s="35"/>
      <c r="H474" s="8"/>
      <c r="I474" s="35"/>
      <c r="J474" s="8"/>
      <c r="K474" s="8"/>
      <c r="L474" s="8"/>
      <c r="M474" s="8"/>
      <c r="N474" s="8"/>
      <c r="O474" s="8"/>
      <c r="P474" s="8"/>
    </row>
    <row r="475" spans="1:16" x14ac:dyDescent="0.4">
      <c r="A475" s="8"/>
      <c r="B475" s="35"/>
      <c r="C475" s="35"/>
      <c r="D475" s="35"/>
      <c r="E475" s="35"/>
      <c r="F475" s="35"/>
      <c r="G475" s="35"/>
      <c r="H475" s="8"/>
      <c r="I475" s="35"/>
      <c r="J475" s="8"/>
      <c r="K475" s="8"/>
      <c r="L475" s="8"/>
      <c r="M475" s="8"/>
      <c r="N475" s="8"/>
      <c r="O475" s="8"/>
      <c r="P475" s="8"/>
    </row>
    <row r="476" spans="1:16" x14ac:dyDescent="0.4">
      <c r="A476" s="8"/>
      <c r="B476" s="35"/>
      <c r="C476" s="35"/>
      <c r="D476" s="35"/>
      <c r="E476" s="35"/>
      <c r="F476" s="35"/>
      <c r="G476" s="35"/>
      <c r="H476" s="8"/>
      <c r="I476" s="35"/>
      <c r="J476" s="8"/>
      <c r="K476" s="8"/>
      <c r="L476" s="8"/>
      <c r="M476" s="8"/>
      <c r="N476" s="8"/>
      <c r="O476" s="8"/>
      <c r="P476" s="8"/>
    </row>
    <row r="477" spans="1:16" x14ac:dyDescent="0.4">
      <c r="A477" s="8"/>
      <c r="B477" s="35"/>
      <c r="C477" s="35"/>
      <c r="D477" s="35"/>
      <c r="E477" s="35"/>
      <c r="F477" s="35"/>
      <c r="G477" s="35"/>
      <c r="H477" s="8"/>
      <c r="I477" s="35"/>
      <c r="J477" s="8"/>
      <c r="K477" s="8"/>
      <c r="L477" s="8"/>
      <c r="M477" s="8"/>
      <c r="N477" s="8"/>
      <c r="O477" s="8"/>
      <c r="P477" s="8"/>
    </row>
    <row r="478" spans="1:16" x14ac:dyDescent="0.4">
      <c r="A478" s="8"/>
      <c r="B478" s="35"/>
      <c r="C478" s="35"/>
      <c r="D478" s="35"/>
      <c r="E478" s="35"/>
      <c r="F478" s="35"/>
      <c r="G478" s="35"/>
      <c r="H478" s="8"/>
      <c r="I478" s="35"/>
      <c r="J478" s="8"/>
      <c r="K478" s="8"/>
      <c r="L478" s="8"/>
      <c r="M478" s="8"/>
      <c r="N478" s="8"/>
      <c r="O478" s="8"/>
      <c r="P478" s="8"/>
    </row>
    <row r="479" spans="1:16" x14ac:dyDescent="0.4">
      <c r="A479" s="8"/>
      <c r="B479" s="35"/>
      <c r="C479" s="35"/>
      <c r="D479" s="35"/>
      <c r="E479" s="35"/>
      <c r="F479" s="35"/>
      <c r="G479" s="35"/>
      <c r="H479" s="8"/>
      <c r="I479" s="35"/>
      <c r="J479" s="8"/>
      <c r="K479" s="8"/>
      <c r="L479" s="8"/>
      <c r="M479" s="8"/>
      <c r="N479" s="8"/>
      <c r="O479" s="8"/>
      <c r="P479" s="8"/>
    </row>
    <row r="480" spans="1:16" x14ac:dyDescent="0.4">
      <c r="A480" s="8"/>
      <c r="B480" s="35"/>
      <c r="C480" s="35"/>
      <c r="D480" s="35"/>
      <c r="E480" s="35"/>
      <c r="F480" s="35"/>
      <c r="G480" s="35"/>
      <c r="H480" s="8"/>
      <c r="I480" s="35"/>
      <c r="J480" s="8"/>
      <c r="K480" s="8"/>
      <c r="L480" s="8"/>
      <c r="M480" s="8"/>
      <c r="N480" s="8"/>
      <c r="O480" s="8"/>
      <c r="P480" s="8"/>
    </row>
    <row r="481" spans="1:16" x14ac:dyDescent="0.4">
      <c r="A481" s="8"/>
      <c r="B481" s="35"/>
      <c r="C481" s="35"/>
      <c r="D481" s="35"/>
      <c r="E481" s="35"/>
      <c r="F481" s="35"/>
      <c r="G481" s="35"/>
      <c r="H481" s="8"/>
      <c r="I481" s="35"/>
      <c r="J481" s="8"/>
      <c r="K481" s="8"/>
      <c r="L481" s="8"/>
      <c r="M481" s="8"/>
      <c r="N481" s="8"/>
      <c r="O481" s="8"/>
      <c r="P481" s="8"/>
    </row>
    <row r="482" spans="1:16" x14ac:dyDescent="0.4">
      <c r="A482" s="8"/>
      <c r="B482" s="35"/>
      <c r="C482" s="35"/>
      <c r="D482" s="35"/>
      <c r="E482" s="35"/>
      <c r="F482" s="35"/>
      <c r="G482" s="35"/>
      <c r="H482" s="8"/>
      <c r="I482" s="35"/>
      <c r="J482" s="8"/>
      <c r="K482" s="8"/>
      <c r="L482" s="8"/>
      <c r="M482" s="8"/>
      <c r="N482" s="8"/>
      <c r="O482" s="8"/>
      <c r="P482" s="8"/>
    </row>
    <row r="483" spans="1:16" x14ac:dyDescent="0.4">
      <c r="A483" s="8"/>
      <c r="B483" s="35"/>
      <c r="C483" s="35"/>
      <c r="D483" s="35"/>
      <c r="E483" s="35"/>
      <c r="F483" s="35"/>
      <c r="G483" s="35"/>
      <c r="H483" s="8"/>
      <c r="I483" s="35"/>
      <c r="J483" s="8"/>
      <c r="K483" s="8"/>
      <c r="L483" s="8"/>
      <c r="M483" s="8"/>
      <c r="N483" s="8"/>
      <c r="O483" s="8"/>
      <c r="P483" s="8"/>
    </row>
    <row r="484" spans="1:16" x14ac:dyDescent="0.4">
      <c r="A484" s="8"/>
      <c r="B484" s="35"/>
      <c r="C484" s="35"/>
      <c r="D484" s="35"/>
      <c r="E484" s="35"/>
      <c r="F484" s="35"/>
      <c r="G484" s="35"/>
      <c r="H484" s="8"/>
      <c r="I484" s="35"/>
      <c r="J484" s="8"/>
      <c r="K484" s="8"/>
      <c r="L484" s="8"/>
      <c r="M484" s="8"/>
      <c r="N484" s="8"/>
      <c r="O484" s="8"/>
      <c r="P484" s="8"/>
    </row>
    <row r="485" spans="1:16" x14ac:dyDescent="0.4">
      <c r="A485" s="8"/>
      <c r="B485" s="35"/>
      <c r="C485" s="35"/>
      <c r="D485" s="35"/>
      <c r="E485" s="35"/>
      <c r="F485" s="35"/>
      <c r="G485" s="35"/>
      <c r="H485" s="8"/>
      <c r="I485" s="35"/>
      <c r="J485" s="8"/>
      <c r="K485" s="8"/>
      <c r="L485" s="8"/>
      <c r="M485" s="8"/>
      <c r="N485" s="8"/>
      <c r="O485" s="8"/>
      <c r="P485" s="8"/>
    </row>
    <row r="486" spans="1:16" x14ac:dyDescent="0.4">
      <c r="A486" s="8"/>
      <c r="B486" s="35"/>
      <c r="C486" s="35"/>
      <c r="D486" s="35"/>
      <c r="E486" s="35"/>
      <c r="F486" s="35"/>
      <c r="G486" s="35"/>
      <c r="H486" s="8"/>
      <c r="I486" s="35"/>
      <c r="J486" s="8"/>
      <c r="K486" s="8"/>
      <c r="L486" s="8"/>
      <c r="M486" s="8"/>
      <c r="N486" s="8"/>
      <c r="O486" s="8"/>
      <c r="P486" s="8"/>
    </row>
    <row r="487" spans="1:16" x14ac:dyDescent="0.4">
      <c r="A487" s="8"/>
      <c r="B487" s="35"/>
      <c r="C487" s="35"/>
      <c r="D487" s="35"/>
      <c r="E487" s="35"/>
      <c r="F487" s="35"/>
      <c r="G487" s="35"/>
      <c r="H487" s="8"/>
      <c r="I487" s="35"/>
      <c r="J487" s="8"/>
      <c r="K487" s="8"/>
      <c r="L487" s="8"/>
      <c r="M487" s="8"/>
      <c r="N487" s="8"/>
      <c r="O487" s="8"/>
      <c r="P487" s="8"/>
    </row>
    <row r="488" spans="1:16" x14ac:dyDescent="0.4">
      <c r="A488" s="8"/>
      <c r="B488" s="35"/>
      <c r="C488" s="35"/>
      <c r="D488" s="35"/>
      <c r="E488" s="35"/>
      <c r="F488" s="35"/>
      <c r="G488" s="35"/>
      <c r="H488" s="8"/>
      <c r="I488" s="35"/>
      <c r="J488" s="8"/>
      <c r="K488" s="8"/>
      <c r="L488" s="8"/>
      <c r="M488" s="8"/>
      <c r="N488" s="8"/>
      <c r="O488" s="8"/>
      <c r="P488" s="8"/>
    </row>
    <row r="489" spans="1:16" x14ac:dyDescent="0.4">
      <c r="A489" s="8"/>
      <c r="B489" s="35"/>
      <c r="C489" s="35"/>
      <c r="D489" s="35"/>
      <c r="E489" s="35"/>
      <c r="F489" s="35"/>
      <c r="G489" s="35"/>
      <c r="H489" s="8"/>
      <c r="I489" s="35"/>
      <c r="J489" s="8"/>
      <c r="K489" s="8"/>
      <c r="L489" s="8"/>
      <c r="M489" s="8"/>
      <c r="N489" s="8"/>
      <c r="O489" s="8"/>
      <c r="P489" s="8"/>
    </row>
    <row r="490" spans="1:16" x14ac:dyDescent="0.4">
      <c r="A490" s="8"/>
      <c r="B490" s="35"/>
      <c r="C490" s="35"/>
      <c r="D490" s="35"/>
      <c r="E490" s="35"/>
      <c r="F490" s="35"/>
      <c r="G490" s="35"/>
      <c r="H490" s="8"/>
      <c r="I490" s="35"/>
      <c r="J490" s="8"/>
      <c r="K490" s="8"/>
      <c r="L490" s="8"/>
      <c r="M490" s="8"/>
      <c r="N490" s="8"/>
      <c r="O490" s="8"/>
      <c r="P490" s="8"/>
    </row>
    <row r="491" spans="1:16" x14ac:dyDescent="0.4">
      <c r="A491" s="8"/>
      <c r="B491" s="35"/>
      <c r="C491" s="35"/>
      <c r="D491" s="35"/>
      <c r="E491" s="35"/>
      <c r="F491" s="35"/>
      <c r="G491" s="35"/>
      <c r="H491" s="8"/>
      <c r="I491" s="35"/>
      <c r="J491" s="8"/>
      <c r="K491" s="8"/>
      <c r="L491" s="8"/>
      <c r="M491" s="8"/>
      <c r="N491" s="8"/>
      <c r="O491" s="8"/>
      <c r="P491" s="8"/>
    </row>
    <row r="492" spans="1:16" x14ac:dyDescent="0.4">
      <c r="A492" s="8"/>
      <c r="B492" s="35"/>
      <c r="C492" s="35"/>
      <c r="D492" s="35"/>
      <c r="E492" s="35"/>
      <c r="F492" s="35"/>
      <c r="G492" s="35"/>
      <c r="H492" s="8"/>
      <c r="I492" s="35"/>
      <c r="J492" s="8"/>
      <c r="K492" s="8"/>
      <c r="L492" s="8"/>
      <c r="M492" s="8"/>
      <c r="N492" s="8"/>
      <c r="O492" s="8"/>
      <c r="P492" s="8"/>
    </row>
    <row r="493" spans="1:16" x14ac:dyDescent="0.4">
      <c r="A493" s="8"/>
      <c r="B493" s="35"/>
      <c r="C493" s="35"/>
      <c r="D493" s="35"/>
      <c r="E493" s="35"/>
      <c r="F493" s="35"/>
      <c r="G493" s="35"/>
      <c r="H493" s="8"/>
      <c r="I493" s="35"/>
      <c r="J493" s="8"/>
      <c r="K493" s="8"/>
      <c r="L493" s="8"/>
      <c r="M493" s="8"/>
      <c r="N493" s="8"/>
      <c r="O493" s="8"/>
      <c r="P493" s="8"/>
    </row>
    <row r="494" spans="1:16" x14ac:dyDescent="0.4">
      <c r="A494" s="8"/>
      <c r="B494" s="35"/>
      <c r="C494" s="35"/>
      <c r="D494" s="35"/>
      <c r="E494" s="35"/>
      <c r="F494" s="35"/>
      <c r="G494" s="35"/>
      <c r="H494" s="8"/>
      <c r="I494" s="35"/>
      <c r="J494" s="8"/>
      <c r="K494" s="8"/>
      <c r="L494" s="8"/>
      <c r="M494" s="8"/>
      <c r="N494" s="8"/>
      <c r="O494" s="8"/>
      <c r="P494" s="8"/>
    </row>
    <row r="495" spans="1:16" x14ac:dyDescent="0.4">
      <c r="A495" s="8"/>
      <c r="B495" s="35"/>
      <c r="C495" s="35"/>
      <c r="D495" s="35"/>
      <c r="E495" s="35"/>
      <c r="F495" s="35"/>
      <c r="G495" s="35"/>
      <c r="H495" s="8"/>
      <c r="I495" s="35"/>
      <c r="J495" s="8"/>
      <c r="K495" s="8"/>
      <c r="L495" s="8"/>
      <c r="M495" s="8"/>
      <c r="N495" s="8"/>
      <c r="O495" s="8"/>
      <c r="P495" s="8"/>
    </row>
    <row r="496" spans="1:16" x14ac:dyDescent="0.4">
      <c r="A496" s="8"/>
      <c r="B496" s="35"/>
      <c r="C496" s="35"/>
      <c r="D496" s="35"/>
      <c r="E496" s="35"/>
      <c r="F496" s="35"/>
      <c r="G496" s="35"/>
      <c r="H496" s="8"/>
      <c r="I496" s="35"/>
      <c r="J496" s="8"/>
      <c r="K496" s="8"/>
      <c r="L496" s="8"/>
      <c r="M496" s="8"/>
      <c r="N496" s="8"/>
      <c r="O496" s="8"/>
      <c r="P496" s="8"/>
    </row>
    <row r="497" spans="1:16" x14ac:dyDescent="0.4">
      <c r="A497" s="8"/>
      <c r="B497" s="35"/>
      <c r="C497" s="35"/>
      <c r="D497" s="35"/>
      <c r="E497" s="35"/>
      <c r="F497" s="35"/>
      <c r="G497" s="35"/>
      <c r="H497" s="8"/>
      <c r="I497" s="35"/>
      <c r="J497" s="8"/>
      <c r="K497" s="8"/>
      <c r="L497" s="8"/>
      <c r="M497" s="8"/>
      <c r="N497" s="8"/>
      <c r="O497" s="8"/>
      <c r="P497" s="8"/>
    </row>
  </sheetData>
  <autoFilter ref="A1:P40" xr:uid="{6E9BCB3B-1A39-418A-B634-85D84FA8850E}"/>
  <phoneticPr fontId="3"/>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D9E08D8B46F3F64C965B15305CD1000D" ma:contentTypeVersion="11" ma:contentTypeDescription="新しいドキュメントを作成します。" ma:contentTypeScope="" ma:versionID="128d2fce5b967bdcffde0ed16ad6e21b">
  <xsd:schema xmlns:xsd="http://www.w3.org/2001/XMLSchema" xmlns:xs="http://www.w3.org/2001/XMLSchema" xmlns:p="http://schemas.microsoft.com/office/2006/metadata/properties" xmlns:ns2="f77ab5d5-5567-4c43-8a04-41d54c287387" targetNamespace="http://schemas.microsoft.com/office/2006/metadata/properties" ma:root="true" ma:fieldsID="f51ae7fd5b2767200f42eaa72a05ab04" ns2:_="">
    <xsd:import namespace="f77ab5d5-5567-4c43-8a04-41d54c28738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77ab5d5-5567-4c43-8a04-41d54c2873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5baf9ac2-c803-412b-8693-76da02b15a4f"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77ab5d5-5567-4c43-8a04-41d54c28738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8A74731-BA84-4993-9E6C-1BEBB46BF8CE}"/>
</file>

<file path=customXml/itemProps2.xml><?xml version="1.0" encoding="utf-8"?>
<ds:datastoreItem xmlns:ds="http://schemas.openxmlformats.org/officeDocument/2006/customXml" ds:itemID="{2D7D843E-97EF-413D-824F-472B7A250457}">
  <ds:schemaRefs>
    <ds:schemaRef ds:uri="http://schemas.microsoft.com/sharepoint/v3/contenttype/forms"/>
  </ds:schemaRefs>
</ds:datastoreItem>
</file>

<file path=customXml/itemProps3.xml><?xml version="1.0" encoding="utf-8"?>
<ds:datastoreItem xmlns:ds="http://schemas.openxmlformats.org/officeDocument/2006/customXml" ds:itemID="{C6B9A550-D6AE-4CCD-96E6-44574B50CD7D}">
  <ds:schemaRefs>
    <ds:schemaRef ds:uri="90e3e2b4-95fc-4c72-a377-7236762da46b"/>
    <ds:schemaRef ds:uri="http://schemas.openxmlformats.org/package/2006/metadata/core-properties"/>
    <ds:schemaRef ds:uri="http://schemas.microsoft.com/office/2006/documentManagement/types"/>
    <ds:schemaRef ds:uri="http://www.w3.org/XML/1998/namespace"/>
    <ds:schemaRef ds:uri="http://schemas.microsoft.com/office/2006/metadata/properties"/>
    <ds:schemaRef ds:uri="http://purl.org/dc/dcmitype/"/>
    <ds:schemaRef ds:uri="http://purl.org/dc/terms/"/>
    <ds:schemaRef ds:uri="http://purl.org/dc/elements/1.1/"/>
    <ds:schemaRef ds:uri="http://schemas.microsoft.com/office/infopath/2007/PartnerControls"/>
    <ds:schemaRef ds:uri="5b6f9432-7385-4d2b-aeb5-9a98b436555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1</vt:i4>
      </vt:variant>
    </vt:vector>
  </HeadingPairs>
  <TitlesOfParts>
    <vt:vector size="4" baseType="lpstr">
      <vt:lpstr>ファイル一覧</vt:lpstr>
      <vt:lpstr>J3C_CJUG_材料</vt:lpstr>
      <vt:lpstr>アンケート内容検討</vt:lpstr>
      <vt:lpstr>ファイル一覧!Print_Titles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masafumi kikura</dc:creator>
  <cp:lastModifiedBy>masafumi kikura</cp:lastModifiedBy>
  <dcterms:created xsi:type="dcterms:W3CDTF">2026-05-14T06:51:22Z</dcterms:created>
  <dcterms:modified xsi:type="dcterms:W3CDTF">2026-07-13T06:34:19Z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0x010100D9E08D8B46F3F64C965B15305CD1000D</vt:lpwstr>
  </property>
</Properties>
</file>